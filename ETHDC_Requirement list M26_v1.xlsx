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IENT\ETHDC\Working\Requirement list\"/>
    </mc:Choice>
  </mc:AlternateContent>
  <xr:revisionPtr revIDLastSave="0" documentId="13_ncr:1_{425891C3-C60C-46D4-B19A-4676FF79B0A1}" xr6:coauthVersionLast="47" xr6:coauthVersionMax="47" xr10:uidLastSave="{00000000-0000-0000-0000-000000000000}"/>
  <bookViews>
    <workbookView xWindow="-108" yWindow="-108" windowWidth="23256" windowHeight="12456" xr2:uid="{00000000-000D-0000-FFFF-FFFF00000000}"/>
  </bookViews>
  <sheets>
    <sheet name="Requirement list" sheetId="1" r:id="rId1"/>
    <sheet name="Annexure 1" sheetId="2" r:id="rId2"/>
    <sheet name="Annexure 2 sales sample" sheetId="3" state="hidden" r:id="rId3"/>
    <sheet name="Annexure 3 samples" sheetId="4" state="hidden" r:id="rId4"/>
    <sheet name="Payroll" sheetId="5" state="hidden" r:id="rId5"/>
  </sheets>
  <definedNames>
    <definedName name="_xlnm._FilterDatabase" localSheetId="0" hidden="1">'Requirement list'!$B$7:$E$83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5" l="1"/>
  <c r="B3" i="5"/>
  <c r="B2" i="5"/>
  <c r="B4" i="4" l="1"/>
  <c r="B3" i="4"/>
  <c r="B2" i="4"/>
  <c r="B4" i="3"/>
  <c r="B3" i="3"/>
  <c r="B2" i="3"/>
  <c r="B3" i="2"/>
  <c r="B2" i="2"/>
  <c r="B10" i="1" l="1"/>
  <c r="B17" i="1" s="1"/>
  <c r="B33" i="1" s="1"/>
  <c r="B35" i="1" s="1"/>
  <c r="B39" i="1" s="1"/>
  <c r="B41" i="1" s="1"/>
  <c r="B43" i="1" s="1"/>
  <c r="B49" i="1" s="1"/>
  <c r="B52" i="1" l="1"/>
  <c r="B54" i="1" s="1"/>
  <c r="B57" i="1" s="1"/>
  <c r="B63" i="1" s="1"/>
  <c r="B60" i="1" l="1"/>
  <c r="B69" i="1" s="1"/>
  <c r="B77" i="1" s="1"/>
</calcChain>
</file>

<file path=xl/sharedStrings.xml><?xml version="1.0" encoding="utf-8"?>
<sst xmlns="http://schemas.openxmlformats.org/spreadsheetml/2006/main" count="981" uniqueCount="325">
  <si>
    <t>General Meetings</t>
  </si>
  <si>
    <t>Board Meetings</t>
  </si>
  <si>
    <t>Sr No</t>
  </si>
  <si>
    <t>Document / Information requirements</t>
  </si>
  <si>
    <t>Remarks</t>
  </si>
  <si>
    <t xml:space="preserve">  - Profession tax</t>
  </si>
  <si>
    <t xml:space="preserve">  - Provident Fund / ESI</t>
  </si>
  <si>
    <t xml:space="preserve">  - TDS / TCS</t>
  </si>
  <si>
    <t>Status of year wise assessments under all the above acts, whether any demand pending in appeal from any of the concerned department. 
Also status of any ongoing legal claims.
This needs to be in the form of management representation letter.</t>
  </si>
  <si>
    <t xml:space="preserve">Sundry creditors - </t>
  </si>
  <si>
    <t>List of Accrued liability and Provisions</t>
  </si>
  <si>
    <t>Fixed asset register</t>
  </si>
  <si>
    <t>Sundry debtors</t>
  </si>
  <si>
    <t>Prepaid Expenses: Require all calculation in respect all prepaid expenses</t>
  </si>
  <si>
    <t xml:space="preserve"> - Leave records for above mentioned months</t>
  </si>
  <si>
    <t>Forms - year end</t>
  </si>
  <si>
    <t>Secretarial compliance certificate</t>
  </si>
  <si>
    <t xml:space="preserve"> - Bonus and incentive provision with documentation</t>
  </si>
  <si>
    <t>Details of any Contingent Liabilities</t>
  </si>
  <si>
    <t>Prepaid expenses (movement during the year)</t>
  </si>
  <si>
    <t xml:space="preserve"> - Vouchers will be required during sample testing</t>
  </si>
  <si>
    <t xml:space="preserve"> - Appointment Letters for new employees joined during the years </t>
  </si>
  <si>
    <t>192B</t>
  </si>
  <si>
    <t>194 C</t>
  </si>
  <si>
    <t>194 J</t>
  </si>
  <si>
    <t>194 I</t>
  </si>
  <si>
    <t>All the registers to be prepared under Companies act,2013</t>
  </si>
  <si>
    <t>List of creditors registered under MSMED Act, 2006</t>
  </si>
  <si>
    <t xml:space="preserve"> - Employees who have left during the year</t>
  </si>
  <si>
    <t xml:space="preserve"> - Electronic cash and Credit ledger </t>
  </si>
  <si>
    <t xml:space="preserve"> - Working of loss/profit on sale of fixed assets</t>
  </si>
  <si>
    <t xml:space="preserve"> - Gratuity and leave encashment working</t>
  </si>
  <si>
    <t>Status</t>
  </si>
  <si>
    <t xml:space="preserve"> - Insuarance policy, if any</t>
  </si>
  <si>
    <t xml:space="preserve"> - Electricity bills for all the months</t>
  </si>
  <si>
    <t>Received</t>
  </si>
  <si>
    <t xml:space="preserve"> - GST credentials</t>
  </si>
  <si>
    <t>Reco between sales and GSTR 1 &amp; GSTR 3B</t>
  </si>
  <si>
    <t>Loans &amp; Advances</t>
  </si>
  <si>
    <t xml:space="preserve">Sales - </t>
  </si>
  <si>
    <t xml:space="preserve"> - TDS on foreign payment (If any)</t>
  </si>
  <si>
    <t xml:space="preserve"> - GST returns summary (3B and GSTR1)</t>
  </si>
  <si>
    <t xml:space="preserve"> - Asset addition verfication - Invoices </t>
  </si>
  <si>
    <t xml:space="preserve"> - Provision for Expense working </t>
  </si>
  <si>
    <t>ETHDC Technologies Pvt. Ltd</t>
  </si>
  <si>
    <t>Kindly provide the supporting document to verify Shri Vedarcharya Ghaisas - Deposit</t>
  </si>
  <si>
    <t xml:space="preserve"> - Foreign exchange realised/unrealised working </t>
  </si>
  <si>
    <t>Preliminary Requirement list</t>
  </si>
  <si>
    <t>Secretarial documents</t>
  </si>
  <si>
    <t>DIR 8</t>
  </si>
  <si>
    <t>MBP 1</t>
  </si>
  <si>
    <t>MSME return</t>
  </si>
  <si>
    <t>DPT- 3</t>
  </si>
  <si>
    <t>Shareholding pattern</t>
  </si>
  <si>
    <t xml:space="preserve">Secretarial Documents </t>
  </si>
  <si>
    <t xml:space="preserve">Minutes of meetings </t>
  </si>
  <si>
    <t>Refer Annexure 1</t>
  </si>
  <si>
    <t xml:space="preserve">Other expenses </t>
  </si>
  <si>
    <t xml:space="preserve">Payroll </t>
  </si>
  <si>
    <t>Al Khaleejia Business Management Company</t>
  </si>
  <si>
    <t>DC Netra Technologies - Sole Proprietorship LLC</t>
  </si>
  <si>
    <t>Ganatra International LLC</t>
  </si>
  <si>
    <t>Seven Eleven Education Society</t>
  </si>
  <si>
    <t xml:space="preserve"> - Rent agreements</t>
  </si>
  <si>
    <t xml:space="preserve">Annexure 2 </t>
  </si>
  <si>
    <t xml:space="preserve">Workings for unbilled and unearned revenue </t>
  </si>
  <si>
    <t xml:space="preserve">Date </t>
  </si>
  <si>
    <t xml:space="preserve">Party name </t>
  </si>
  <si>
    <t xml:space="preserve">Invoice no. </t>
  </si>
  <si>
    <t>Indian School Muscat</t>
  </si>
  <si>
    <t>St. Mary's Private High School LLC</t>
  </si>
  <si>
    <t>NorthStar Technology Company WLL</t>
  </si>
  <si>
    <t>Indian School Bahrain</t>
  </si>
  <si>
    <t>Capital School</t>
  </si>
  <si>
    <t>Doha International School</t>
  </si>
  <si>
    <t>Middle East International School</t>
  </si>
  <si>
    <t>Prudentz Corp IT Solutions LLC</t>
  </si>
  <si>
    <t>St. Mary's Catholic High School (British Curriculum)</t>
  </si>
  <si>
    <t>Edison Group of Schools</t>
  </si>
  <si>
    <t>Alia National School</t>
  </si>
  <si>
    <t>Bu Oauf Trading - ARKIS</t>
  </si>
  <si>
    <t>The Asian School</t>
  </si>
  <si>
    <t>Hawar International School</t>
  </si>
  <si>
    <t>Fresh &amp; Honest Cafe Limited</t>
  </si>
  <si>
    <t>ETHDC23E671</t>
  </si>
  <si>
    <t>ETHDC23PE116</t>
  </si>
  <si>
    <t>ETHDC23E698</t>
  </si>
  <si>
    <t>ETHDC23E711</t>
  </si>
  <si>
    <t>ETHDC23E720</t>
  </si>
  <si>
    <t>ETHDC23E731</t>
  </si>
  <si>
    <t>ETHDC23D1476</t>
  </si>
  <si>
    <t>ETHDC23E747</t>
  </si>
  <si>
    <t>ETHDC23E764</t>
  </si>
  <si>
    <t>ETHDC23E757</t>
  </si>
  <si>
    <t>ETHDC23E766</t>
  </si>
  <si>
    <t>ETHDC23E773</t>
  </si>
  <si>
    <t>ETHDC23E780</t>
  </si>
  <si>
    <t>ETHDC23E785</t>
  </si>
  <si>
    <t>ETHDC23E792</t>
  </si>
  <si>
    <t>ETHDC23E796</t>
  </si>
  <si>
    <t>ETHDC23PE155</t>
  </si>
  <si>
    <t>ETHDC23E902</t>
  </si>
  <si>
    <t>ETHDC23E901</t>
  </si>
  <si>
    <t>ETHDC23E929</t>
  </si>
  <si>
    <t>ETHDC23D1678</t>
  </si>
  <si>
    <t xml:space="preserve">Credit </t>
  </si>
  <si>
    <t xml:space="preserve">Debit </t>
  </si>
  <si>
    <t xml:space="preserve">Sample sales invoices, contracts with parties and other related documents </t>
  </si>
  <si>
    <t xml:space="preserve">Sales invoices samples list </t>
  </si>
  <si>
    <t xml:space="preserve">Contracts with parties </t>
  </si>
  <si>
    <t xml:space="preserve">Sr. no. </t>
  </si>
  <si>
    <t>Private International English School</t>
  </si>
  <si>
    <t>SKP'S CM International School</t>
  </si>
  <si>
    <t>Edison International Academy - Aspire</t>
  </si>
  <si>
    <t xml:space="preserve">Annexure 3 </t>
  </si>
  <si>
    <t>Expenses Samples List</t>
  </si>
  <si>
    <t xml:space="preserve">1. Professional fees </t>
  </si>
  <si>
    <t>account_name</t>
  </si>
  <si>
    <t>Professional Fees</t>
  </si>
  <si>
    <t>transaction_details</t>
  </si>
  <si>
    <t>transaction_id</t>
  </si>
  <si>
    <t>reference_transaction_id</t>
  </si>
  <si>
    <t>offset_account_id</t>
  </si>
  <si>
    <t>offset_account_type</t>
  </si>
  <si>
    <t>transaction_type</t>
  </si>
  <si>
    <t>reference_number</t>
  </si>
  <si>
    <t>entity_number</t>
  </si>
  <si>
    <t>debit</t>
  </si>
  <si>
    <t>credit</t>
  </si>
  <si>
    <t>net_amount</t>
  </si>
  <si>
    <t>contact_id</t>
  </si>
  <si>
    <t>account_id</t>
  </si>
  <si>
    <t>project_ids</t>
  </si>
  <si>
    <t>description</t>
  </si>
  <si>
    <t>currency_code</t>
  </si>
  <si>
    <t>account_group</t>
  </si>
  <si>
    <t>account_type</t>
  </si>
  <si>
    <t>branch_name</t>
  </si>
  <si>
    <t>Genius Consultants</t>
  </si>
  <si>
    <t>1275371000001303027</t>
  </si>
  <si>
    <t/>
  </si>
  <si>
    <t>bill</t>
  </si>
  <si>
    <t>GM2PPR/JU0008/25</t>
  </si>
  <si>
    <t>1275371000000086189</t>
  </si>
  <si>
    <t>1275371000000112001</t>
  </si>
  <si>
    <t>INR</t>
  </si>
  <si>
    <t>expense</t>
  </si>
  <si>
    <t>Head Office</t>
  </si>
  <si>
    <t>Vaishnavi kulkarni</t>
  </si>
  <si>
    <t>1275371000001425523</t>
  </si>
  <si>
    <t>VSK01</t>
  </si>
  <si>
    <t>1275371000000147197</t>
  </si>
  <si>
    <t>Aditi Raibagkar</t>
  </si>
  <si>
    <t>1275371000001429430</t>
  </si>
  <si>
    <t>#11</t>
  </si>
  <si>
    <t>1275371000001429416</t>
  </si>
  <si>
    <t>Vaibhav Patil</t>
  </si>
  <si>
    <t>1275371000001663730</t>
  </si>
  <si>
    <t>VP/24-25</t>
  </si>
  <si>
    <t>1275371000001663414</t>
  </si>
  <si>
    <t>Sagar Dani</t>
  </si>
  <si>
    <t>1275371000001663562</t>
  </si>
  <si>
    <t>ETHDC24-25</t>
  </si>
  <si>
    <t>1275371000001663386</t>
  </si>
  <si>
    <t>Date</t>
  </si>
  <si>
    <t xml:space="preserve">2. Serve charges </t>
  </si>
  <si>
    <t>Contract with : ESDS SOFTWARE SOLUTION LIMITED</t>
  </si>
  <si>
    <t>Server Charges</t>
  </si>
  <si>
    <t>Hostnet India</t>
  </si>
  <si>
    <t>1275371000001079713</t>
  </si>
  <si>
    <t>13248</t>
  </si>
  <si>
    <t>1275371000000303647</t>
  </si>
  <si>
    <t>1275371000000112103</t>
  </si>
  <si>
    <t>ESDS SOFTWARE SOLUTION LIMITED</t>
  </si>
  <si>
    <t>1275371000001424473</t>
  </si>
  <si>
    <t>HOST-2425-1819</t>
  </si>
  <si>
    <t>1275371000000112109</t>
  </si>
  <si>
    <t>Software &amp; Tools</t>
  </si>
  <si>
    <t xml:space="preserve">MP, SK Muscat Hotel
</t>
  </si>
  <si>
    <t>1275371000001670449</t>
  </si>
  <si>
    <t>journal</t>
  </si>
  <si>
    <t>451</t>
  </si>
  <si>
    <t>-1</t>
  </si>
  <si>
    <t>1275371000000442368</t>
  </si>
  <si>
    <t xml:space="preserve">Google Ads
</t>
  </si>
  <si>
    <t>1275371000001673181</t>
  </si>
  <si>
    <t>469</t>
  </si>
  <si>
    <t>ICICI Bank</t>
  </si>
  <si>
    <t>1275371000001685847</t>
  </si>
  <si>
    <t>1275371000000046001</t>
  </si>
  <si>
    <t>bank</t>
  </si>
  <si>
    <t>Bitrix payment to anjali for nov and dec</t>
  </si>
  <si>
    <t xml:space="preserve">3. Software expenses </t>
  </si>
  <si>
    <t>International Travelling Exp</t>
  </si>
  <si>
    <t xml:space="preserve">CC 1021 (Qatar travel)
</t>
  </si>
  <si>
    <t>1275371000001670141</t>
  </si>
  <si>
    <t>436</t>
  </si>
  <si>
    <t>1275371000000123627</t>
  </si>
  <si>
    <t>other_expense</t>
  </si>
  <si>
    <t xml:space="preserve">Hrishikesh BH (99012.56)
</t>
  </si>
  <si>
    <t>1275371000001670369</t>
  </si>
  <si>
    <t>447</t>
  </si>
  <si>
    <t>Pheroze</t>
  </si>
  <si>
    <t>1275371000000123993</t>
  </si>
  <si>
    <t>1275371000001494173</t>
  </si>
  <si>
    <t>#Jan</t>
  </si>
  <si>
    <t>Sagar, Nilesh, AK</t>
  </si>
  <si>
    <t xml:space="preserve">4. Travelling and Conveyance </t>
  </si>
  <si>
    <t>Travelling agent commission</t>
  </si>
  <si>
    <t>Garuda Gateways</t>
  </si>
  <si>
    <t>1275371000001528483</t>
  </si>
  <si>
    <t>ITI240000145</t>
  </si>
  <si>
    <t>1275371000000086232</t>
  </si>
  <si>
    <t>1275371000000301503</t>
  </si>
  <si>
    <t>Domestic Travelling</t>
  </si>
  <si>
    <t>cab</t>
  </si>
  <si>
    <t>1275371000001670529</t>
  </si>
  <si>
    <t>455</t>
  </si>
  <si>
    <t>1275371000000123597</t>
  </si>
  <si>
    <t>omerga visit</t>
  </si>
  <si>
    <t>1275371000001796387</t>
  </si>
  <si>
    <t>561</t>
  </si>
  <si>
    <t>Local Conveyance</t>
  </si>
  <si>
    <t>sandesh auti</t>
  </si>
  <si>
    <t>1275371000001796707</t>
  </si>
  <si>
    <t>577</t>
  </si>
  <si>
    <t>1275371000000169187</t>
  </si>
  <si>
    <t>Travel Expense</t>
  </si>
  <si>
    <t>1275371000002087847</t>
  </si>
  <si>
    <t>1275371000000000516</t>
  </si>
  <si>
    <t>Harichandra darekar exp to e booked now booked under travel ex</t>
  </si>
  <si>
    <t>Domain &amp; Web Hosting Exp</t>
  </si>
  <si>
    <t>PODC</t>
  </si>
  <si>
    <t>1275371000001663105</t>
  </si>
  <si>
    <t>432/24-25</t>
  </si>
  <si>
    <t>1275371000000124124</t>
  </si>
  <si>
    <t>1275371000000124151</t>
  </si>
  <si>
    <t>Office Exp</t>
  </si>
  <si>
    <t>office chairs</t>
  </si>
  <si>
    <t>1275371000001575110</t>
  </si>
  <si>
    <t>419</t>
  </si>
  <si>
    <t>1275371000000169121</t>
  </si>
  <si>
    <t>Bajarang Security</t>
  </si>
  <si>
    <t>1275371000001663790</t>
  </si>
  <si>
    <t>Feb</t>
  </si>
  <si>
    <t>1275371000001663774</t>
  </si>
  <si>
    <t>Office Supplies</t>
  </si>
  <si>
    <t>Mamta Fresh Mart</t>
  </si>
  <si>
    <t>1275371000001374299</t>
  </si>
  <si>
    <t>Mamta#07</t>
  </si>
  <si>
    <t>1275371000000569452</t>
  </si>
  <si>
    <t>1275371000000000498</t>
  </si>
  <si>
    <t>1275371000001539291</t>
  </si>
  <si>
    <t>5. Office Expense</t>
  </si>
  <si>
    <t>IT and Internet Expenses</t>
  </si>
  <si>
    <t>Limerick</t>
  </si>
  <si>
    <t>1275371000001303337</t>
  </si>
  <si>
    <t>LL/2024-25/0448</t>
  </si>
  <si>
    <t>1275371000000123538</t>
  </si>
  <si>
    <t>1275371000000000525</t>
  </si>
  <si>
    <t>1275371000001306123</t>
  </si>
  <si>
    <t>SP/2425/6/1389</t>
  </si>
  <si>
    <t>1275371000001663003</t>
  </si>
  <si>
    <t>Jan</t>
  </si>
  <si>
    <t>Telephone Expense</t>
  </si>
  <si>
    <t>Oct</t>
  </si>
  <si>
    <t>1275371000001478065</t>
  </si>
  <si>
    <t>403</t>
  </si>
  <si>
    <t>1275371000000000519</t>
  </si>
  <si>
    <t>6. Communication cost</t>
  </si>
  <si>
    <t>Staff Welfare Expenses</t>
  </si>
  <si>
    <t>1275371000001706685</t>
  </si>
  <si>
    <t>1275371000000125028</t>
  </si>
  <si>
    <t>Tiffin service</t>
  </si>
  <si>
    <t>1275371000002107649</t>
  </si>
  <si>
    <t>1275371000002079191</t>
  </si>
  <si>
    <t>cash Memo March25</t>
  </si>
  <si>
    <t>Pantry Expenses March 25</t>
  </si>
  <si>
    <t>7. Staff Welfare</t>
  </si>
  <si>
    <t xml:space="preserve">Please note that above mentioned documents are not exhaustive in nature. We may come up with additional requirements on our understanding of operations. </t>
  </si>
  <si>
    <t>8. Miscellaneous Expense</t>
  </si>
  <si>
    <t>Other Expenses</t>
  </si>
  <si>
    <t>1275371000002099197</t>
  </si>
  <si>
    <t>1275371000000000558</t>
  </si>
  <si>
    <t>paid t chetan diwakar dhore</t>
  </si>
  <si>
    <t>Repairs and Maintenance</t>
  </si>
  <si>
    <t>1275371000002087012</t>
  </si>
  <si>
    <t>1275371000000000555</t>
  </si>
  <si>
    <t>paid to shivshankar birajdar</t>
  </si>
  <si>
    <t>9. Repairs and Maintenance</t>
  </si>
  <si>
    <t xml:space="preserve">Status </t>
  </si>
  <si>
    <t xml:space="preserve">Employee appointment and FNF letters - Samples </t>
  </si>
  <si>
    <t>1. Appointment letters of below :</t>
  </si>
  <si>
    <t xml:space="preserve">Employee name </t>
  </si>
  <si>
    <t>PRATHAMESH GHODKE</t>
  </si>
  <si>
    <t>AKSHAY KOHALE</t>
  </si>
  <si>
    <t>SHREYAS SHRIKANT JOSHI</t>
  </si>
  <si>
    <t>PRATHMESH LOHAR</t>
  </si>
  <si>
    <t>2. FNF letters of below employees:</t>
  </si>
  <si>
    <t xml:space="preserve">Employee Name </t>
  </si>
  <si>
    <t>ANITA ABHIJIT THORAT</t>
  </si>
  <si>
    <t>SATISH JOHARE</t>
  </si>
  <si>
    <t>ADITI RAIBAGKAR</t>
  </si>
  <si>
    <t>TUSHAR MAWAL</t>
  </si>
  <si>
    <t>single agreement for entire group</t>
  </si>
  <si>
    <t xml:space="preserve">No agreement - on invoice basis </t>
  </si>
  <si>
    <t xml:space="preserve">Received </t>
  </si>
  <si>
    <t xml:space="preserve">Reco with 26AS </t>
  </si>
  <si>
    <t xml:space="preserve">  - ESIC</t>
  </si>
  <si>
    <t>Trial Balance FY 2025-26</t>
  </si>
  <si>
    <t>Statutory Audit for the year ended March 31, 2026</t>
  </si>
  <si>
    <t>Secretarial compliances: 2025-26</t>
  </si>
  <si>
    <t>Copy of Payment challans and returns 2025-26 (monthly or quarterly, as the case may be)</t>
  </si>
  <si>
    <t xml:space="preserve"> - Updated FAR as on March 31, 2026 with depreciation working as per Companies Act</t>
  </si>
  <si>
    <t xml:space="preserve"> - Updated FAR as on March 31, 2026 with depreciation working as per Income tax act</t>
  </si>
  <si>
    <t>Cash certificate for cash as on March 31, 2026 signed by cashier and verified by Accounts Manager</t>
  </si>
  <si>
    <t>Bank balance confirmation as on March 31, 2026 and reconciliation items if any</t>
  </si>
  <si>
    <t>Bank statements - 01/04/25 to 31/03/26</t>
  </si>
  <si>
    <t>Will provide soon</t>
  </si>
  <si>
    <t xml:space="preserve"> - Payroll computation for the month from April 2025 to Mar 2026</t>
  </si>
  <si>
    <t xml:space="preserve">   Balance confirmation of top 5 debtors as on March 31, 2026</t>
  </si>
  <si>
    <t>Balance confirmation of top 5 creditors as on March 31, 2026</t>
  </si>
  <si>
    <t xml:space="preserve"> - Reco of GSTR 2B vs Books</t>
  </si>
  <si>
    <t xml:space="preserve"> - Reco of GST ECL closing Balance vs Books </t>
  </si>
  <si>
    <t>AOC 4 of FY 2024-25 (Annual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</si>
</sst>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 #,##0_ ;_ * \-#,##0_ ;_ * &quot;-&quot;_ ;_ @_ "/>
    <numFmt numFmtId="43" formatCode="_ * #,##0.00_ ;_ * \-#,##0.00_ ;_ * &quot;-&quot;??_ ;_ @_ "/>
    <numFmt numFmtId="164" formatCode="_(&quot;$&quot;* #,##0.00_);_(&quot;$&quot;* \(#,##0.00\);_(&quot;$&quot;* &quot;-&quot;??_);_(@_)"/>
    <numFmt numFmtId="165" formatCode="_ &quot;Rs.&quot;\ * #,##0.00_ ;_ &quot;Rs.&quot;\ * \-#,##0.00_ ;_ &quot;Rs.&quot;\ * &quot;-&quot;??_ ;_ @_ "/>
    <numFmt numFmtId="166" formatCode="_-* #,##0.00_-;\-* #,##0.00_-;_-* &quot;-&quot;??_-;_-@_-"/>
    <numFmt numFmtId="167" formatCode="#,##0.00000\ ;&quot; (&quot;#,##0.00000\);&quot; -&quot;#\ ;@\ "/>
    <numFmt numFmtId="168" formatCode="0.00_)"/>
    <numFmt numFmtId="169" formatCode=".0%;\(.0%\)"/>
    <numFmt numFmtId="170" formatCode="#,##0.00&quot; $&quot;;\-#,##0.00&quot; $&quot;"/>
    <numFmt numFmtId="171" formatCode="#,##0.00&quot; $&quot;;[Red]\-#,##0.00&quot; $&quot;"/>
    <numFmt numFmtId="172" formatCode="d\.m\.yy"/>
    <numFmt numFmtId="173" formatCode="d\.mmm\.yy"/>
    <numFmt numFmtId="174" formatCode="#,##0&quot; $&quot;;[Red]\-#,##0&quot; $&quot;"/>
    <numFmt numFmtId="175" formatCode="d\.mmm"/>
    <numFmt numFmtId="176" formatCode="&quot;$&quot;#,##0.00;[Red]\-&quot;$&quot;#,##0.00"/>
    <numFmt numFmtId="177" formatCode="#.00"/>
    <numFmt numFmtId="178" formatCode="[$-409]mmmm\ d\,\ yyyy;@"/>
    <numFmt numFmtId="179" formatCode="0%;\(0%\)"/>
    <numFmt numFmtId="180" formatCode="0.0%"/>
    <numFmt numFmtId="181" formatCode="mmm\.yy"/>
    <numFmt numFmtId="182" formatCode="d\.m\.yy\ h:mm"/>
    <numFmt numFmtId="183" formatCode="#,##0.0;[Red]\-#,##0.0"/>
    <numFmt numFmtId="184" formatCode="\+#,##0.0;[Red]\-#,##0.0"/>
    <numFmt numFmtId="185" formatCode="#,##0.0000_);\(#,##0.0000\)"/>
    <numFmt numFmtId="186" formatCode="_-* #,##0\ &quot;F&quot;_-;\-* #,##0\ &quot;F&quot;_-;_-* &quot;-&quot;\ &quot;F&quot;_-;_-@_-"/>
    <numFmt numFmtId="187" formatCode="0.00000_)"/>
    <numFmt numFmtId="188" formatCode="_-* #,##0\ _F_-;\-* #,##0\ _F_-;_-* &quot;-&quot;\ _F_-;_-@_-"/>
    <numFmt numFmtId="189" formatCode="0.0000"/>
    <numFmt numFmtId="190" formatCode="_ * #,##0_ ;_ * \-#,##0_ ;_ * &quot;-&quot;??_ ;_ @_ "/>
  </numFmts>
  <fonts count="49">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indexed="8"/>
      <name val="Calibri"/>
      <family val="2"/>
    </font>
    <font>
      <sz val="10"/>
      <name val="Arial"/>
      <family val="2"/>
    </font>
    <font>
      <sz val="10"/>
      <name val="Bitstream Vera Sans"/>
      <family val="2"/>
    </font>
    <font>
      <sz val="10"/>
      <name val="Book Antiqua"/>
      <family val="1"/>
    </font>
    <font>
      <b/>
      <sz val="9"/>
      <name val="Arial"/>
      <family val="2"/>
    </font>
    <font>
      <b/>
      <sz val="12"/>
      <name val="Arial"/>
      <family val="2"/>
    </font>
    <font>
      <sz val="10"/>
      <color indexed="8"/>
      <name val="Book Antiqua"/>
      <family val="2"/>
    </font>
    <font>
      <sz val="10"/>
      <name val="Helv"/>
      <charset val="204"/>
    </font>
    <font>
      <sz val="11"/>
      <name val="¾©"/>
      <charset val="128"/>
    </font>
    <font>
      <sz val="10"/>
      <color indexed="8"/>
      <name val="Arial"/>
      <family val="2"/>
    </font>
    <font>
      <sz val="12"/>
      <name val="Times New Roman"/>
      <family val="1"/>
    </font>
    <font>
      <sz val="10"/>
      <name val="Courier"/>
      <family val="3"/>
    </font>
    <font>
      <sz val="12"/>
      <name val="Tms Rmn"/>
    </font>
    <font>
      <sz val="12"/>
      <name val="Helv"/>
    </font>
    <font>
      <sz val="12"/>
      <color indexed="8"/>
      <name val="Courier"/>
      <family val="3"/>
    </font>
    <font>
      <sz val="8"/>
      <name val="Arial"/>
      <family val="2"/>
    </font>
    <font>
      <b/>
      <sz val="24"/>
      <color indexed="12"/>
      <name val="Monaco"/>
      <family val="1"/>
    </font>
    <font>
      <b/>
      <sz val="18"/>
      <color indexed="8"/>
      <name val="Courier"/>
      <family val="3"/>
    </font>
    <font>
      <b/>
      <sz val="12"/>
      <color indexed="8"/>
      <name val="Courier"/>
      <family val="3"/>
    </font>
    <font>
      <b/>
      <sz val="12"/>
      <name val="Helv"/>
    </font>
    <font>
      <sz val="10"/>
      <color indexed="12"/>
      <name val="Arial"/>
      <family val="2"/>
    </font>
    <font>
      <b/>
      <i/>
      <sz val="16"/>
      <name val="Helv"/>
    </font>
    <font>
      <b/>
      <i/>
      <sz val="8"/>
      <name val="Arial"/>
      <family val="2"/>
    </font>
    <font>
      <b/>
      <sz val="11"/>
      <name val="Times New Roman"/>
      <family val="1"/>
    </font>
    <font>
      <sz val="12"/>
      <color indexed="13"/>
      <name val="Helv"/>
    </font>
    <font>
      <sz val="11"/>
      <name val="ＭＳ 明朝"/>
      <family val="1"/>
      <charset val="128"/>
    </font>
    <font>
      <sz val="10"/>
      <color indexed="8"/>
      <name val="EYInterstate Light"/>
      <family val="2"/>
    </font>
    <font>
      <sz val="10"/>
      <name val="MS Sans Serif"/>
      <family val="2"/>
    </font>
    <font>
      <sz val="9"/>
      <name val="Book Antiqua"/>
      <family val="1"/>
    </font>
    <font>
      <sz val="11"/>
      <color theme="1"/>
      <name val="Times New Roman"/>
      <family val="2"/>
    </font>
    <font>
      <sz val="14"/>
      <name val="AngsanaUPC"/>
      <family val="1"/>
    </font>
    <font>
      <sz val="12"/>
      <name val="¹ÙÅÁÃ¼"/>
      <charset val="129"/>
    </font>
    <font>
      <strike/>
      <sz val="9"/>
      <name val="Helv"/>
    </font>
    <font>
      <b/>
      <sz val="10"/>
      <name val="MS Sans Serif"/>
      <family val="2"/>
    </font>
    <font>
      <sz val="10"/>
      <name val="Arial Cyr"/>
      <charset val="204"/>
    </font>
    <font>
      <sz val="10"/>
      <name val="Myriad Regular"/>
    </font>
    <font>
      <sz val="9"/>
      <name val="Arial MT"/>
    </font>
    <font>
      <b/>
      <sz val="11"/>
      <name val="Calibri"/>
      <family val="2"/>
      <scheme val="minor"/>
    </font>
    <font>
      <b/>
      <sz val="11"/>
      <name val="Calibri Light"/>
      <family val="2"/>
      <scheme val="major"/>
    </font>
    <font>
      <sz val="11"/>
      <color rgb="FFFF0000"/>
      <name val="Calibri"/>
      <family val="2"/>
      <scheme val="minor"/>
    </font>
    <font>
      <sz val="11"/>
      <name val="Calibri"/>
      <family val="2"/>
      <scheme val="minor"/>
    </font>
    <font>
      <b/>
      <u/>
      <sz val="11"/>
      <color theme="1"/>
      <name val="Calibri"/>
      <family val="2"/>
      <scheme val="minor"/>
    </font>
    <font>
      <u/>
      <sz val="11"/>
      <color theme="1"/>
      <name val="Calibri"/>
      <family val="2"/>
      <scheme val="minor"/>
    </font>
    <font>
      <b/>
      <i/>
      <sz val="11"/>
      <color theme="1"/>
      <name val="Calibri"/>
      <family val="2"/>
    </font>
    <font>
      <i/>
      <sz val="11"/>
      <color theme="1"/>
      <name val="Calibri"/>
      <family val="2"/>
      <scheme val="minor"/>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2"/>
      </patternFill>
    </fill>
    <fill>
      <patternFill patternType="mediumGray">
        <fgColor indexed="22"/>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style="hair">
        <color indexed="64"/>
      </left>
      <right style="hair">
        <color indexed="64"/>
      </right>
      <top style="thin">
        <color indexed="64"/>
      </top>
      <bottom/>
      <diagonal/>
    </border>
    <border>
      <left style="hair">
        <color indexed="64"/>
      </left>
      <right style="hair">
        <color indexed="64"/>
      </right>
      <top style="double">
        <color indexed="64"/>
      </top>
      <bottom/>
      <diagonal/>
    </border>
    <border>
      <left style="thin">
        <color indexed="8"/>
      </left>
      <right style="thin">
        <color indexed="8"/>
      </right>
      <top style="double">
        <color indexed="8"/>
      </top>
      <bottom style="thin">
        <color indexed="8"/>
      </bottom>
      <diagonal/>
    </border>
    <border>
      <left style="thin">
        <color indexed="8"/>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52">
    <xf numFmtId="0" fontId="0" fillId="0" borderId="0"/>
    <xf numFmtId="0" fontId="3" fillId="0" borderId="0"/>
    <xf numFmtId="43" fontId="3" fillId="0" borderId="0" applyFont="0" applyFill="0" applyBorder="0" applyAlignment="0" applyProtection="0"/>
    <xf numFmtId="0" fontId="1" fillId="0" borderId="0"/>
    <xf numFmtId="0" fontId="11" fillId="0" borderId="0"/>
    <xf numFmtId="169" fontId="5" fillId="0" borderId="0" applyFill="0" applyBorder="0" applyAlignment="0"/>
    <xf numFmtId="170" fontId="5" fillId="0" borderId="0" applyFill="0" applyBorder="0" applyAlignment="0"/>
    <xf numFmtId="171" fontId="5" fillId="0" borderId="0" applyFill="0" applyBorder="0" applyAlignment="0"/>
    <xf numFmtId="172" fontId="5" fillId="0" borderId="0" applyFill="0" applyBorder="0" applyAlignment="0"/>
    <xf numFmtId="173" fontId="5" fillId="0" borderId="0" applyFill="0" applyBorder="0" applyAlignment="0"/>
    <xf numFmtId="174" fontId="5" fillId="0" borderId="0" applyFill="0" applyBorder="0" applyAlignment="0"/>
    <xf numFmtId="175" fontId="5" fillId="0" borderId="0" applyFill="0" applyBorder="0" applyAlignment="0"/>
    <xf numFmtId="170" fontId="5" fillId="0" borderId="0" applyFill="0" applyBorder="0" applyAlignment="0"/>
    <xf numFmtId="43" fontId="4" fillId="0" borderId="0" applyFont="0" applyFill="0" applyBorder="0" applyAlignment="0" applyProtection="0"/>
    <xf numFmtId="174"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5" fillId="0" borderId="0" applyFill="0" applyBorder="0" applyAlignment="0" applyProtection="0"/>
    <xf numFmtId="170"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alignment vertical="top"/>
    </xf>
    <xf numFmtId="43" fontId="1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5" fillId="0" borderId="0" applyFill="0" applyBorder="0" applyAlignment="0" applyProtection="0"/>
    <xf numFmtId="41" fontId="14"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5" fillId="0" borderId="0" applyFill="0" applyBorder="0" applyAlignment="0" applyProtection="0"/>
    <xf numFmtId="167" fontId="5" fillId="0" borderId="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39" fontId="15" fillId="0" borderId="0" applyNumberFormat="0"/>
    <xf numFmtId="176" fontId="16" fillId="0" borderId="1"/>
    <xf numFmtId="170" fontId="5" fillId="0" borderId="0" applyFont="0" applyFill="0" applyBorder="0" applyAlignment="0" applyProtection="0"/>
    <xf numFmtId="164" fontId="7" fillId="0" borderId="0" applyFont="0" applyFill="0" applyBorder="0" applyAlignment="0" applyProtection="0"/>
    <xf numFmtId="0" fontId="17" fillId="0" borderId="0"/>
    <xf numFmtId="0" fontId="17" fillId="0" borderId="2"/>
    <xf numFmtId="0" fontId="18" fillId="0" borderId="0">
      <protection locked="0"/>
    </xf>
    <xf numFmtId="14" fontId="13" fillId="0" borderId="0" applyFill="0" applyBorder="0" applyAlignment="0"/>
    <xf numFmtId="0" fontId="16" fillId="0" borderId="0" applyNumberFormat="0" applyFill="0" applyBorder="0" applyAlignment="0" applyProtection="0"/>
    <xf numFmtId="174" fontId="5" fillId="0" borderId="0" applyFill="0" applyBorder="0" applyAlignment="0"/>
    <xf numFmtId="170" fontId="5" fillId="0" borderId="0" applyFill="0" applyBorder="0" applyAlignment="0"/>
    <xf numFmtId="174" fontId="5" fillId="0" borderId="0" applyFill="0" applyBorder="0" applyAlignment="0"/>
    <xf numFmtId="175" fontId="5" fillId="0" borderId="0" applyFill="0" applyBorder="0" applyAlignment="0"/>
    <xf numFmtId="170" fontId="5" fillId="0" borderId="0" applyFill="0" applyBorder="0" applyAlignment="0"/>
    <xf numFmtId="177" fontId="18" fillId="0" borderId="0">
      <protection locked="0"/>
    </xf>
    <xf numFmtId="38" fontId="19" fillId="2" borderId="0" applyNumberFormat="0" applyBorder="0" applyAlignment="0" applyProtection="0"/>
    <xf numFmtId="0" fontId="9" fillId="0" borderId="3" applyNumberFormat="0" applyAlignment="0" applyProtection="0">
      <alignment horizontal="left" vertical="center"/>
    </xf>
    <xf numFmtId="0" fontId="9" fillId="0" borderId="4">
      <alignment horizontal="left" vertical="center"/>
    </xf>
    <xf numFmtId="0" fontId="20" fillId="0" borderId="0">
      <alignment horizontal="center"/>
    </xf>
    <xf numFmtId="0" fontId="21" fillId="0" borderId="0">
      <protection locked="0"/>
    </xf>
    <xf numFmtId="0" fontId="22" fillId="0" borderId="0">
      <protection locked="0"/>
    </xf>
    <xf numFmtId="10" fontId="19" fillId="3" borderId="1" applyNumberFormat="0" applyBorder="0" applyAlignment="0" applyProtection="0"/>
    <xf numFmtId="0" fontId="23" fillId="4" borderId="2"/>
    <xf numFmtId="174" fontId="5" fillId="0" borderId="0" applyFill="0" applyBorder="0" applyAlignment="0"/>
    <xf numFmtId="170" fontId="5" fillId="0" borderId="0" applyFill="0" applyBorder="0" applyAlignment="0"/>
    <xf numFmtId="174" fontId="5" fillId="0" borderId="0" applyFill="0" applyBorder="0" applyAlignment="0"/>
    <xf numFmtId="175" fontId="5" fillId="0" borderId="0" applyFill="0" applyBorder="0" applyAlignment="0"/>
    <xf numFmtId="170" fontId="5" fillId="0" borderId="0" applyFill="0" applyBorder="0" applyAlignment="0"/>
    <xf numFmtId="49" fontId="24" fillId="0" borderId="1">
      <alignment horizontal="left"/>
      <protection locked="0"/>
    </xf>
    <xf numFmtId="49" fontId="24" fillId="2" borderId="1">
      <alignment horizontal="left"/>
      <protection locked="0"/>
    </xf>
    <xf numFmtId="38" fontId="31" fillId="0" borderId="0" applyFont="0" applyFill="0" applyBorder="0" applyAlignment="0" applyProtection="0"/>
    <xf numFmtId="40" fontId="31" fillId="0" borderId="0" applyFont="0" applyFill="0" applyBorder="0" applyAlignment="0" applyProtection="0"/>
    <xf numFmtId="183" fontId="5" fillId="0" borderId="0" applyFont="0" applyFill="0" applyBorder="0" applyAlignment="0" applyProtection="0"/>
    <xf numFmtId="184" fontId="5" fillId="0" borderId="0" applyFont="0" applyFill="0" applyBorder="0" applyAlignment="0" applyProtection="0"/>
    <xf numFmtId="168" fontId="25" fillId="0" borderId="0"/>
    <xf numFmtId="0" fontId="5" fillId="0" borderId="0">
      <alignment vertical="top"/>
    </xf>
    <xf numFmtId="0" fontId="5" fillId="0" borderId="0"/>
    <xf numFmtId="0" fontId="13" fillId="0" borderId="0">
      <alignment vertical="top"/>
    </xf>
    <xf numFmtId="178" fontId="5" fillId="0" borderId="0"/>
    <xf numFmtId="0" fontId="5" fillId="0" borderId="0"/>
    <xf numFmtId="0" fontId="7" fillId="0" borderId="0"/>
    <xf numFmtId="0" fontId="6" fillId="0" borderId="0"/>
    <xf numFmtId="0" fontId="14" fillId="0" borderId="0"/>
    <xf numFmtId="178" fontId="14" fillId="0" borderId="0"/>
    <xf numFmtId="178" fontId="14" fillId="0" borderId="0"/>
    <xf numFmtId="0" fontId="4" fillId="0" borderId="0"/>
    <xf numFmtId="0" fontId="5" fillId="0" borderId="0"/>
    <xf numFmtId="0" fontId="1" fillId="0" borderId="0"/>
    <xf numFmtId="178" fontId="5" fillId="0" borderId="0"/>
    <xf numFmtId="0" fontId="13" fillId="0" borderId="0"/>
    <xf numFmtId="0" fontId="1" fillId="0" borderId="0"/>
    <xf numFmtId="0" fontId="14" fillId="0" borderId="0"/>
    <xf numFmtId="173" fontId="5" fillId="0" borderId="0" applyFont="0" applyFill="0" applyBorder="0" applyAlignment="0" applyProtection="0"/>
    <xf numFmtId="179" fontId="5" fillId="0" borderId="0" applyFont="0" applyFill="0" applyBorder="0" applyAlignment="0" applyProtection="0"/>
    <xf numFmtId="10" fontId="5" fillId="0" borderId="0" applyFont="0" applyFill="0" applyBorder="0" applyAlignment="0" applyProtection="0"/>
    <xf numFmtId="180" fontId="14" fillId="0" borderId="0" applyFont="0" applyFill="0" applyBorder="0" applyAlignment="0" applyProtection="0"/>
    <xf numFmtId="180" fontId="14" fillId="0" borderId="0" applyFont="0" applyFill="0" applyBorder="0" applyAlignment="0" applyProtection="0"/>
    <xf numFmtId="180" fontId="14" fillId="0" borderId="0" applyFont="0" applyFill="0" applyBorder="0" applyAlignment="0" applyProtection="0"/>
    <xf numFmtId="180" fontId="14" fillId="0" borderId="0" applyFont="0" applyFill="0" applyBorder="0" applyAlignment="0" applyProtection="0"/>
    <xf numFmtId="180"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30" fillId="0" borderId="0" applyFont="0" applyFill="0" applyBorder="0" applyAlignment="0" applyProtection="0"/>
    <xf numFmtId="9" fontId="31" fillId="0" borderId="5" applyNumberFormat="0" applyBorder="0"/>
    <xf numFmtId="174" fontId="5" fillId="0" borderId="0" applyFill="0" applyBorder="0" applyAlignment="0"/>
    <xf numFmtId="170" fontId="5" fillId="0" borderId="0" applyFill="0" applyBorder="0" applyAlignment="0"/>
    <xf numFmtId="174" fontId="5" fillId="0" borderId="0" applyFill="0" applyBorder="0" applyAlignment="0"/>
    <xf numFmtId="175" fontId="5" fillId="0" borderId="0" applyFill="0" applyBorder="0" applyAlignment="0"/>
    <xf numFmtId="170" fontId="5" fillId="0" borderId="0" applyFill="0" applyBorder="0" applyAlignment="0"/>
    <xf numFmtId="0" fontId="17" fillId="0" borderId="0"/>
    <xf numFmtId="0" fontId="26" fillId="0" borderId="6"/>
    <xf numFmtId="0" fontId="5" fillId="0" borderId="0"/>
    <xf numFmtId="0" fontId="8" fillId="0" borderId="7"/>
    <xf numFmtId="0" fontId="17" fillId="0" borderId="2"/>
    <xf numFmtId="49" fontId="13" fillId="0" borderId="0" applyFill="0" applyBorder="0" applyAlignment="0"/>
    <xf numFmtId="181" fontId="5" fillId="0" borderId="0" applyFill="0" applyBorder="0" applyAlignment="0"/>
    <xf numFmtId="182" fontId="5" fillId="0" borderId="0" applyFill="0" applyBorder="0" applyAlignment="0"/>
    <xf numFmtId="40" fontId="27" fillId="0" borderId="0"/>
    <xf numFmtId="0" fontId="28" fillId="5" borderId="0"/>
    <xf numFmtId="0" fontId="23" fillId="0" borderId="8"/>
    <xf numFmtId="0" fontId="23" fillId="0" borderId="2"/>
    <xf numFmtId="0" fontId="12" fillId="0" borderId="0"/>
    <xf numFmtId="0" fontId="5" fillId="0" borderId="0"/>
    <xf numFmtId="0" fontId="29" fillId="0" borderId="0"/>
    <xf numFmtId="0" fontId="1" fillId="0" borderId="0"/>
    <xf numFmtId="43" fontId="4" fillId="0" borderId="0" applyFont="0" applyFill="0" applyBorder="0" applyAlignment="0" applyProtection="0"/>
    <xf numFmtId="0" fontId="3" fillId="0" borderId="0"/>
    <xf numFmtId="166" fontId="5" fillId="0" borderId="0" applyFont="0" applyFill="0" applyBorder="0" applyAlignment="0" applyProtection="0"/>
    <xf numFmtId="0" fontId="3" fillId="0" borderId="0"/>
    <xf numFmtId="43" fontId="32" fillId="0" borderId="0" applyFont="0" applyFill="0" applyBorder="0" applyAlignment="0" applyProtection="0"/>
    <xf numFmtId="43" fontId="1" fillId="0" borderId="0" applyFont="0" applyFill="0" applyBorder="0" applyAlignment="0" applyProtection="0"/>
    <xf numFmtId="0" fontId="33" fillId="0" borderId="0"/>
    <xf numFmtId="166"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0" fontId="33" fillId="0" borderId="0"/>
    <xf numFmtId="0" fontId="5" fillId="0" borderId="0"/>
    <xf numFmtId="0" fontId="5" fillId="0" borderId="0"/>
    <xf numFmtId="168" fontId="5" fillId="0" borderId="0" applyNumberFormat="0" applyFill="0" applyBorder="0" applyAlignment="0" applyProtection="0"/>
    <xf numFmtId="168" fontId="5" fillId="0" borderId="0" applyNumberFormat="0" applyFill="0" applyBorder="0" applyAlignment="0" applyProtection="0"/>
    <xf numFmtId="9" fontId="34" fillId="0" borderId="0"/>
    <xf numFmtId="185" fontId="34" fillId="0" borderId="0" applyFont="0" applyFill="0" applyBorder="0" applyAlignment="0" applyProtection="0"/>
    <xf numFmtId="186" fontId="34" fillId="0" borderId="0" applyFont="0" applyFill="0" applyBorder="0" applyAlignment="0" applyProtection="0"/>
    <xf numFmtId="187" fontId="34" fillId="0" borderId="0" applyFont="0" applyFill="0" applyBorder="0" applyAlignment="0" applyProtection="0"/>
    <xf numFmtId="188" fontId="34" fillId="0" borderId="0" applyFont="0" applyFill="0" applyBorder="0" applyAlignment="0" applyProtection="0"/>
    <xf numFmtId="0" fontId="35" fillId="0" borderId="0"/>
    <xf numFmtId="166"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33" fillId="0" borderId="0"/>
    <xf numFmtId="0" fontId="33" fillId="0" borderId="0"/>
    <xf numFmtId="0" fontId="33" fillId="0" borderId="0"/>
    <xf numFmtId="0" fontId="1" fillId="0" borderId="0"/>
    <xf numFmtId="0" fontId="1" fillId="0" borderId="0"/>
    <xf numFmtId="0" fontId="1" fillId="0" borderId="0"/>
    <xf numFmtId="37" fontId="36" fillId="0" borderId="9">
      <alignment horizontal="left"/>
    </xf>
    <xf numFmtId="9" fontId="5" fillId="0" borderId="0" applyFont="0" applyFill="0" applyBorder="0" applyAlignment="0" applyProtection="0"/>
    <xf numFmtId="0" fontId="31" fillId="0" borderId="0" applyNumberFormat="0" applyFont="0" applyFill="0" applyBorder="0" applyAlignment="0" applyProtection="0">
      <alignment horizontal="left"/>
    </xf>
    <xf numFmtId="15" fontId="31" fillId="0" borderId="0" applyFont="0" applyFill="0" applyBorder="0" applyAlignment="0" applyProtection="0"/>
    <xf numFmtId="4" fontId="31" fillId="0" borderId="0" applyFont="0" applyFill="0" applyBorder="0" applyAlignment="0" applyProtection="0"/>
    <xf numFmtId="0" fontId="37" fillId="0" borderId="10">
      <alignment horizontal="center"/>
    </xf>
    <xf numFmtId="0" fontId="31" fillId="6" borderId="0" applyNumberFormat="0" applyFont="0" applyBorder="0" applyAlignment="0" applyProtection="0"/>
    <xf numFmtId="0" fontId="38" fillId="0" borderId="0"/>
    <xf numFmtId="9" fontId="3" fillId="0" borderId="0" applyFont="0" applyFill="0" applyBorder="0" applyAlignment="0" applyProtection="0"/>
    <xf numFmtId="0" fontId="5"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1" fillId="0" borderId="0" applyFont="0" applyFill="0" applyBorder="0" applyAlignment="0" applyProtection="0"/>
    <xf numFmtId="9" fontId="39" fillId="0" borderId="0" applyFont="0" applyFill="0" applyBorder="0" applyAlignment="0" applyProtection="0"/>
    <xf numFmtId="165" fontId="1" fillId="0" borderId="0" applyFont="0" applyFill="0" applyBorder="0" applyAlignment="0" applyProtection="0"/>
    <xf numFmtId="0" fontId="3" fillId="0" borderId="0"/>
    <xf numFmtId="43" fontId="3" fillId="0" borderId="0" applyFont="0" applyFill="0" applyBorder="0" applyAlignment="0" applyProtection="0"/>
    <xf numFmtId="0" fontId="5" fillId="0" borderId="0"/>
    <xf numFmtId="0" fontId="40" fillId="0" borderId="0"/>
    <xf numFmtId="43"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0" fontId="1" fillId="0" borderId="0"/>
    <xf numFmtId="43" fontId="5" fillId="0" borderId="0" applyFont="0" applyFill="0" applyBorder="0" applyAlignment="0" applyProtection="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43" fontId="3"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0"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alignment vertical="top"/>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176" fontId="16" fillId="0" borderId="11"/>
    <xf numFmtId="10" fontId="19" fillId="3" borderId="11" applyNumberFormat="0" applyBorder="0" applyAlignment="0" applyProtection="0"/>
    <xf numFmtId="49" fontId="24" fillId="0" borderId="11">
      <alignment horizontal="left"/>
      <protection locked="0"/>
    </xf>
    <xf numFmtId="49" fontId="24" fillId="2" borderId="11">
      <alignment horizontal="left"/>
      <protection locked="0"/>
    </xf>
    <xf numFmtId="0" fontId="13" fillId="0" borderId="0">
      <alignment vertical="top"/>
    </xf>
    <xf numFmtId="0" fontId="14" fillId="0" borderId="0"/>
    <xf numFmtId="180" fontId="14" fillId="0" borderId="0" applyFont="0" applyFill="0" applyBorder="0" applyAlignment="0" applyProtection="0"/>
    <xf numFmtId="43" fontId="4"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6" fontId="16" fillId="0" borderId="1"/>
    <xf numFmtId="10" fontId="19" fillId="3" borderId="1" applyNumberFormat="0" applyBorder="0" applyAlignment="0" applyProtection="0"/>
    <xf numFmtId="49" fontId="24" fillId="0" borderId="1">
      <alignment horizontal="left"/>
      <protection locked="0"/>
    </xf>
    <xf numFmtId="49" fontId="24" fillId="2" borderId="1">
      <alignment horizontal="left"/>
      <protection locked="0"/>
    </xf>
    <xf numFmtId="43" fontId="1" fillId="0" borderId="0" applyFont="0" applyFill="0" applyBorder="0" applyAlignment="0" applyProtection="0"/>
    <xf numFmtId="43" fontId="1" fillId="0" borderId="0" applyFont="0" applyFill="0" applyBorder="0" applyAlignment="0" applyProtection="0"/>
  </cellStyleXfs>
  <cellXfs count="61">
    <xf numFmtId="0" fontId="0" fillId="0" borderId="0" xfId="0"/>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2" fillId="7" borderId="1" xfId="0" applyFont="1" applyFill="1" applyBorder="1" applyAlignment="1">
      <alignment horizontal="center" vertical="top"/>
    </xf>
    <xf numFmtId="0" fontId="2" fillId="7" borderId="1" xfId="0" applyFont="1" applyFill="1" applyBorder="1" applyAlignment="1">
      <alignment horizontal="center" vertical="top" wrapText="1"/>
    </xf>
    <xf numFmtId="0" fontId="2" fillId="0" borderId="0" xfId="0" applyFont="1" applyAlignment="1">
      <alignment vertical="top"/>
    </xf>
    <xf numFmtId="0" fontId="2" fillId="0" borderId="0" xfId="0" applyFont="1" applyAlignment="1">
      <alignment horizontal="left" vertical="top"/>
    </xf>
    <xf numFmtId="0" fontId="0" fillId="0" borderId="1" xfId="0" applyBorder="1" applyAlignment="1">
      <alignment horizontal="center" vertical="top"/>
    </xf>
    <xf numFmtId="0" fontId="2"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16" fontId="0" fillId="0" borderId="0" xfId="0" applyNumberFormat="1" applyAlignment="1">
      <alignment vertical="top"/>
    </xf>
    <xf numFmtId="0" fontId="2" fillId="0" borderId="1" xfId="0" applyFont="1" applyBorder="1" applyAlignment="1">
      <alignment vertical="top" wrapText="1"/>
    </xf>
    <xf numFmtId="0" fontId="0" fillId="0" borderId="1" xfId="0" applyBorder="1" applyAlignment="1">
      <alignment horizontal="left" vertical="top" indent="7"/>
    </xf>
    <xf numFmtId="0" fontId="0" fillId="0" borderId="1" xfId="0" applyBorder="1" applyAlignment="1">
      <alignment horizontal="left" vertical="top" indent="2"/>
    </xf>
    <xf numFmtId="0" fontId="43" fillId="0" borderId="1" xfId="0" applyFont="1" applyBorder="1" applyAlignment="1">
      <alignment vertical="top" wrapText="1"/>
    </xf>
    <xf numFmtId="0" fontId="41" fillId="0" borderId="1" xfId="0" applyFont="1" applyBorder="1" applyAlignment="1">
      <alignment vertical="top" wrapText="1"/>
    </xf>
    <xf numFmtId="0" fontId="44" fillId="0" borderId="1" xfId="0" applyFont="1" applyBorder="1" applyAlignment="1">
      <alignment vertical="top" wrapText="1"/>
    </xf>
    <xf numFmtId="0" fontId="42" fillId="0" borderId="1" xfId="0" applyFont="1" applyBorder="1" applyAlignment="1">
      <alignment vertical="top" wrapText="1"/>
    </xf>
    <xf numFmtId="0" fontId="0" fillId="0" borderId="1" xfId="0" applyBorder="1" applyAlignment="1">
      <alignment horizontal="left" vertical="top" inden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11" xfId="0" applyBorder="1" applyAlignment="1">
      <alignment vertical="top"/>
    </xf>
    <xf numFmtId="0" fontId="0" fillId="0" borderId="11" xfId="0" applyBorder="1" applyAlignment="1">
      <alignment horizontal="center" vertical="top"/>
    </xf>
    <xf numFmtId="0" fontId="0" fillId="0" borderId="11" xfId="0" applyBorder="1" applyAlignment="1">
      <alignment vertical="top" wrapText="1"/>
    </xf>
    <xf numFmtId="0" fontId="44" fillId="0" borderId="0" xfId="0" applyFont="1" applyAlignment="1">
      <alignment vertical="top"/>
    </xf>
    <xf numFmtId="0" fontId="41" fillId="7" borderId="1" xfId="0" applyFont="1" applyFill="1" applyBorder="1" applyAlignment="1">
      <alignment horizontal="center" vertical="top" wrapText="1"/>
    </xf>
    <xf numFmtId="14" fontId="41" fillId="0" borderId="1" xfId="0" applyNumberFormat="1" applyFont="1" applyBorder="1" applyAlignment="1">
      <alignment vertical="top"/>
    </xf>
    <xf numFmtId="0" fontId="44" fillId="0" borderId="1" xfId="0" applyFont="1" applyBorder="1" applyAlignment="1">
      <alignment horizontal="center" vertical="top" wrapText="1"/>
    </xf>
    <xf numFmtId="0" fontId="44" fillId="0" borderId="1" xfId="0" applyFont="1" applyBorder="1" applyAlignment="1">
      <alignment vertical="top"/>
    </xf>
    <xf numFmtId="0" fontId="41" fillId="0" borderId="1" xfId="0" applyFont="1" applyBorder="1" applyAlignment="1">
      <alignment vertical="top"/>
    </xf>
    <xf numFmtId="14" fontId="44" fillId="0" borderId="1" xfId="0" applyNumberFormat="1" applyFont="1" applyBorder="1" applyAlignment="1">
      <alignment vertical="top"/>
    </xf>
    <xf numFmtId="0" fontId="44" fillId="0" borderId="11" xfId="0" applyFont="1" applyBorder="1" applyAlignment="1">
      <alignment vertical="top"/>
    </xf>
    <xf numFmtId="0" fontId="2" fillId="8" borderId="11" xfId="0" applyFont="1" applyFill="1" applyBorder="1"/>
    <xf numFmtId="0" fontId="0" fillId="0" borderId="11" xfId="0" applyBorder="1"/>
    <xf numFmtId="0" fontId="45" fillId="0" borderId="0" xfId="0" applyFont="1"/>
    <xf numFmtId="0" fontId="46" fillId="0" borderId="0" xfId="0" applyFont="1"/>
    <xf numFmtId="14" fontId="0" fillId="0" borderId="11" xfId="0" applyNumberFormat="1" applyBorder="1"/>
    <xf numFmtId="0" fontId="2" fillId="7" borderId="11" xfId="0" applyFont="1" applyFill="1" applyBorder="1"/>
    <xf numFmtId="190" fontId="0" fillId="0" borderId="11" xfId="0" applyNumberFormat="1" applyBorder="1" applyAlignment="1">
      <alignment horizontal="left"/>
    </xf>
    <xf numFmtId="0" fontId="2" fillId="0" borderId="0" xfId="0" applyFont="1"/>
    <xf numFmtId="0" fontId="2" fillId="0" borderId="11" xfId="0" applyFont="1" applyBorder="1"/>
    <xf numFmtId="190" fontId="2" fillId="0" borderId="11" xfId="251" applyNumberFormat="1" applyFont="1" applyBorder="1"/>
    <xf numFmtId="14" fontId="2" fillId="0" borderId="0" xfId="0" applyNumberFormat="1" applyFont="1"/>
    <xf numFmtId="14" fontId="0" fillId="0" borderId="12" xfId="0" applyNumberFormat="1" applyBorder="1"/>
    <xf numFmtId="0" fontId="0" fillId="0" borderId="12" xfId="0" applyBorder="1"/>
    <xf numFmtId="14" fontId="0" fillId="0" borderId="13" xfId="0" applyNumberFormat="1" applyBorder="1"/>
    <xf numFmtId="0" fontId="0" fillId="0" borderId="13" xfId="0" applyBorder="1"/>
    <xf numFmtId="190" fontId="0" fillId="0" borderId="12" xfId="251" applyNumberFormat="1" applyFont="1" applyBorder="1"/>
    <xf numFmtId="190" fontId="0" fillId="0" borderId="12" xfId="251" applyNumberFormat="1" applyFont="1" applyFill="1" applyBorder="1"/>
    <xf numFmtId="0" fontId="47" fillId="0" borderId="0" xfId="0" applyFont="1"/>
    <xf numFmtId="14" fontId="0" fillId="0" borderId="0" xfId="0" applyNumberFormat="1"/>
    <xf numFmtId="0" fontId="0" fillId="9" borderId="11" xfId="0" applyFill="1" applyBorder="1"/>
    <xf numFmtId="0" fontId="0" fillId="0" borderId="12" xfId="0" applyBorder="1" applyAlignment="1">
      <alignment horizontal="left"/>
    </xf>
    <xf numFmtId="0" fontId="0" fillId="0" borderId="13" xfId="0" applyBorder="1" applyAlignment="1">
      <alignment horizontal="left"/>
    </xf>
    <xf numFmtId="0" fontId="2" fillId="0" borderId="11" xfId="0" applyFont="1" applyBorder="1" applyAlignment="1">
      <alignment horizontal="left"/>
    </xf>
    <xf numFmtId="0" fontId="45" fillId="0" borderId="0" xfId="0" applyFont="1" applyAlignment="1">
      <alignment horizontal="left"/>
    </xf>
    <xf numFmtId="0" fontId="2" fillId="0" borderId="12" xfId="0" applyFont="1" applyBorder="1"/>
    <xf numFmtId="0" fontId="48" fillId="0" borderId="0" xfId="0" applyFont="1"/>
    <xf numFmtId="0" fontId="2" fillId="0" borderId="1" xfId="0" applyFont="1" applyBorder="1" applyAlignment="1">
      <alignment horizontal="left" vertical="top"/>
    </xf>
  </cellXfs>
  <cellStyles count="252">
    <cellStyle name="_Data gathering template - output services" xfId="139" xr:uid="{00000000-0005-0000-0000-000000000000}"/>
    <cellStyle name="_India Crimp Data 220611" xfId="179" xr:uid="{00000000-0005-0000-0000-000001000000}"/>
    <cellStyle name="_O 3. 01 Mar 08 Overall Deferred tax comp" xfId="4" xr:uid="{00000000-0005-0000-0000-000002000000}"/>
    <cellStyle name="_Output service details FIRC details" xfId="140" xr:uid="{00000000-0005-0000-0000-000003000000}"/>
    <cellStyle name="_Sheet1" xfId="141" xr:uid="{00000000-0005-0000-0000-000004000000}"/>
    <cellStyle name="_Sheet3" xfId="142" xr:uid="{00000000-0005-0000-0000-000005000000}"/>
    <cellStyle name="_T5 cables (Usage)" xfId="180" xr:uid="{00000000-0005-0000-0000-000006000000}"/>
    <cellStyle name="W_OVERSEAS" xfId="124" xr:uid="{00000000-0005-0000-0000-000007000000}"/>
    <cellStyle name="75" xfId="143" xr:uid="{00000000-0005-0000-0000-000008000000}"/>
    <cellStyle name="ÅëÈ­ [0]_±âÅ¸" xfId="144" xr:uid="{00000000-0005-0000-0000-000009000000}"/>
    <cellStyle name="ÅëÈ­_±âÅ¸" xfId="145" xr:uid="{00000000-0005-0000-0000-00000A000000}"/>
    <cellStyle name="ÄÞ¸¶ [0]_±âÅ¸" xfId="146" xr:uid="{00000000-0005-0000-0000-00000B000000}"/>
    <cellStyle name="ÄÞ¸¶_±âÅ¸" xfId="147" xr:uid="{00000000-0005-0000-0000-00000C000000}"/>
    <cellStyle name="Ç¥ÁØ_¿¬°£´©°è¿¹»ó" xfId="148" xr:uid="{00000000-0005-0000-0000-00000D000000}"/>
    <cellStyle name="Calc Currency (0)" xfId="5" xr:uid="{00000000-0005-0000-0000-00000E000000}"/>
    <cellStyle name="Calc Currency (2)" xfId="6" xr:uid="{00000000-0005-0000-0000-00000F000000}"/>
    <cellStyle name="Calc Percent (0)" xfId="7" xr:uid="{00000000-0005-0000-0000-000010000000}"/>
    <cellStyle name="Calc Percent (1)" xfId="8" xr:uid="{00000000-0005-0000-0000-000011000000}"/>
    <cellStyle name="Calc Percent (2)" xfId="9" xr:uid="{00000000-0005-0000-0000-000012000000}"/>
    <cellStyle name="Calc Units (0)" xfId="10" xr:uid="{00000000-0005-0000-0000-000013000000}"/>
    <cellStyle name="Calc Units (1)" xfId="11" xr:uid="{00000000-0005-0000-0000-000014000000}"/>
    <cellStyle name="Calc Units (2)" xfId="12" xr:uid="{00000000-0005-0000-0000-000015000000}"/>
    <cellStyle name="Comma" xfId="251" builtinId="3"/>
    <cellStyle name="Comma [00]" xfId="14" xr:uid="{00000000-0005-0000-0000-000017000000}"/>
    <cellStyle name="Comma 10" xfId="13" xr:uid="{00000000-0005-0000-0000-000018000000}"/>
    <cellStyle name="Comma 10 2" xfId="187" xr:uid="{00000000-0005-0000-0000-000019000000}"/>
    <cellStyle name="Comma 10 2 2" xfId="244" xr:uid="{78FC0AA6-9EA2-42A2-A01F-AB0A69114688}"/>
    <cellStyle name="Comma 10 3" xfId="191" xr:uid="{B7403522-FEA7-45E4-9007-E75B1E7B2C32}"/>
    <cellStyle name="Comma 10 4" xfId="203" xr:uid="{1DCABD62-FF4C-4942-AB32-FD6A3FBA51F1}"/>
    <cellStyle name="Comma 10 5" xfId="195" xr:uid="{89E7BC1E-F8F5-441D-81A9-D6522F927AF9}"/>
    <cellStyle name="Comma 11" xfId="15" xr:uid="{00000000-0005-0000-0000-00001A000000}"/>
    <cellStyle name="Comma 11 2" xfId="204" xr:uid="{28A34695-B987-47A6-911A-38FFC7FAEB4F}"/>
    <cellStyle name="Comma 12" xfId="128" xr:uid="{00000000-0005-0000-0000-00001B000000}"/>
    <cellStyle name="Comma 12 2" xfId="232" xr:uid="{3AA05687-38C1-4BB3-B966-CFB33AD033F1}"/>
    <cellStyle name="Comma 13" xfId="16" xr:uid="{00000000-0005-0000-0000-00001C000000}"/>
    <cellStyle name="Comma 13 2" xfId="205" xr:uid="{43680730-1D8B-4209-8194-6F9E00C7E0E7}"/>
    <cellStyle name="Comma 14" xfId="130" xr:uid="{00000000-0005-0000-0000-00001D000000}"/>
    <cellStyle name="Comma 14 2" xfId="135" xr:uid="{00000000-0005-0000-0000-00001E000000}"/>
    <cellStyle name="Comma 15" xfId="17" xr:uid="{00000000-0005-0000-0000-00001F000000}"/>
    <cellStyle name="Comma 15 2" xfId="206" xr:uid="{AA8496F7-BCFE-41D7-BE73-BE5ED64CF15D}"/>
    <cellStyle name="Comma 16" xfId="133" xr:uid="{00000000-0005-0000-0000-000020000000}"/>
    <cellStyle name="Comma 16 2" xfId="234" xr:uid="{B67F8797-C286-4048-B601-2F74A716C068}"/>
    <cellStyle name="Comma 17" xfId="18" xr:uid="{00000000-0005-0000-0000-000021000000}"/>
    <cellStyle name="Comma 17 2" xfId="207" xr:uid="{F9D869E0-ED78-43C8-8C35-F760003729A0}"/>
    <cellStyle name="Comma 18" xfId="136" xr:uid="{00000000-0005-0000-0000-000022000000}"/>
    <cellStyle name="Comma 19" xfId="19" xr:uid="{00000000-0005-0000-0000-000023000000}"/>
    <cellStyle name="Comma 19 2" xfId="208" xr:uid="{BE8D56B4-954A-4387-AC4D-F4AC3537CA44}"/>
    <cellStyle name="Comma 2" xfId="20" xr:uid="{00000000-0005-0000-0000-000024000000}"/>
    <cellStyle name="Comma 2 2" xfId="21" xr:uid="{00000000-0005-0000-0000-000025000000}"/>
    <cellStyle name="Comma 2 2 2" xfId="182" xr:uid="{00000000-0005-0000-0000-000026000000}"/>
    <cellStyle name="Comma 2 2 3" xfId="209" xr:uid="{D7D8A333-9743-4BE7-8EA2-0E70070A2444}"/>
    <cellStyle name="Comma 2 2 4" xfId="194" xr:uid="{684AE50B-40B1-438A-817B-F3B1FF501B47}"/>
    <cellStyle name="Comma 2 3" xfId="22" xr:uid="{00000000-0005-0000-0000-000027000000}"/>
    <cellStyle name="Comma 2 3 2" xfId="23" xr:uid="{00000000-0005-0000-0000-000028000000}"/>
    <cellStyle name="Comma 2 3 2 2" xfId="211" xr:uid="{73A069E5-46C8-4932-8458-3BAEA7C0DC87}"/>
    <cellStyle name="Comma 2 3 3" xfId="183" xr:uid="{00000000-0005-0000-0000-000029000000}"/>
    <cellStyle name="Comma 2 3 4" xfId="210" xr:uid="{C4CBC6A7-56C0-403C-B141-89F4E35904E7}"/>
    <cellStyle name="Comma 2 4" xfId="24" xr:uid="{00000000-0005-0000-0000-00002A000000}"/>
    <cellStyle name="Comma 2 4 2" xfId="212" xr:uid="{62D9F97D-2F71-45CF-BA81-2CC06745A27C}"/>
    <cellStyle name="Comma 2 5" xfId="178" xr:uid="{00000000-0005-0000-0000-00002B000000}"/>
    <cellStyle name="Comma 2 5 2" xfId="241" xr:uid="{12EBB862-5F08-49AC-9BD2-3E8BF55B227D}"/>
    <cellStyle name="Comma 2 6" xfId="189" xr:uid="{00000000-0005-0000-0000-00002C000000}"/>
    <cellStyle name="Comma 2 6 2" xfId="245" xr:uid="{C82B45A1-1E19-432D-9012-4DC324B857D8}"/>
    <cellStyle name="Comma 2_Mar 11 Leoni" xfId="25" xr:uid="{00000000-0005-0000-0000-00002D000000}"/>
    <cellStyle name="Comma 20" xfId="137" xr:uid="{00000000-0005-0000-0000-00002E000000}"/>
    <cellStyle name="Comma 21" xfId="26" xr:uid="{00000000-0005-0000-0000-00002F000000}"/>
    <cellStyle name="Comma 21 2" xfId="213" xr:uid="{27019B74-F728-4693-AE00-97DBF3D67DAF}"/>
    <cellStyle name="Comma 22" xfId="149" xr:uid="{00000000-0005-0000-0000-000030000000}"/>
    <cellStyle name="Comma 23" xfId="27" xr:uid="{00000000-0005-0000-0000-000031000000}"/>
    <cellStyle name="Comma 23 2" xfId="214" xr:uid="{81DD3A5A-39AE-4A6D-8D83-98500BE9350E}"/>
    <cellStyle name="Comma 24" xfId="150" xr:uid="{00000000-0005-0000-0000-000032000000}"/>
    <cellStyle name="Comma 24 2" xfId="235" xr:uid="{80C7EB5B-EC78-4687-8C40-A2019AC9DCE3}"/>
    <cellStyle name="Comma 25" xfId="151" xr:uid="{00000000-0005-0000-0000-000033000000}"/>
    <cellStyle name="Comma 25 2" xfId="236" xr:uid="{30A02A18-5375-45E2-8337-F330D25074B7}"/>
    <cellStyle name="Comma 26" xfId="28" xr:uid="{00000000-0005-0000-0000-000034000000}"/>
    <cellStyle name="Comma 26 2" xfId="215" xr:uid="{22EB72D3-C6C8-4490-AC4B-B50F27109E88}"/>
    <cellStyle name="Comma 27" xfId="170" xr:uid="{00000000-0005-0000-0000-000035000000}"/>
    <cellStyle name="Comma 27 2" xfId="237" xr:uid="{01F6B396-7BBD-46FD-AE90-2C68D1DFCC2A}"/>
    <cellStyle name="Comma 28" xfId="29" xr:uid="{00000000-0005-0000-0000-000036000000}"/>
    <cellStyle name="Comma 28 2" xfId="216" xr:uid="{F1349EC1-0CCD-4F1C-A84B-D57AC74D07BA}"/>
    <cellStyle name="Comma 29" xfId="2" xr:uid="{00000000-0005-0000-0000-000037000000}"/>
    <cellStyle name="Comma 29 2" xfId="202" xr:uid="{20B45EB6-7839-41A7-9D09-0D5A92D0E316}"/>
    <cellStyle name="Comma 3" xfId="30" xr:uid="{00000000-0005-0000-0000-000038000000}"/>
    <cellStyle name="Comma 3 2" xfId="31" xr:uid="{00000000-0005-0000-0000-000039000000}"/>
    <cellStyle name="Comma 3 2 2" xfId="217" xr:uid="{39365CA2-D659-4299-A5D7-1FF279B2A17F}"/>
    <cellStyle name="Comma 3 3" xfId="181" xr:uid="{00000000-0005-0000-0000-00003A000000}"/>
    <cellStyle name="Comma 3 3 2" xfId="242" xr:uid="{824896B5-619E-4607-9A06-35127005D333}"/>
    <cellStyle name="Comma 3_Mar 11 Leoni" xfId="32" xr:uid="{00000000-0005-0000-0000-00003B000000}"/>
    <cellStyle name="Comma 30" xfId="172" xr:uid="{00000000-0005-0000-0000-00003C000000}"/>
    <cellStyle name="Comma 30 2" xfId="238" xr:uid="{CCEBE1D0-4755-452C-89C7-D90FE737452E}"/>
    <cellStyle name="Comma 31" xfId="33" xr:uid="{00000000-0005-0000-0000-00003D000000}"/>
    <cellStyle name="Comma 31 2" xfId="218" xr:uid="{847A06BC-E8CF-4FB1-BFAE-E9088E7B7F01}"/>
    <cellStyle name="Comma 32" xfId="34" xr:uid="{00000000-0005-0000-0000-00003E000000}"/>
    <cellStyle name="Comma 32 2" xfId="219" xr:uid="{B501D6FB-242A-4E79-919F-DF324C162748}"/>
    <cellStyle name="Comma 33" xfId="174" xr:uid="{00000000-0005-0000-0000-00003F000000}"/>
    <cellStyle name="Comma 33 2" xfId="240" xr:uid="{D7327DCA-5FF8-4B25-A607-010AC94E77ED}"/>
    <cellStyle name="Comma 34" xfId="35" xr:uid="{00000000-0005-0000-0000-000040000000}"/>
    <cellStyle name="Comma 34 2" xfId="220" xr:uid="{6CE29003-8AB9-44A9-AF59-91864B2B294F}"/>
    <cellStyle name="Comma 35" xfId="185" xr:uid="{00000000-0005-0000-0000-000041000000}"/>
    <cellStyle name="Comma 35 2" xfId="243" xr:uid="{9CB0A38C-63A6-4C42-B20C-D3C2E94BACF0}"/>
    <cellStyle name="Comma 36" xfId="239" xr:uid="{B5D6EA17-05A9-48C9-B83A-975FC332DB49}"/>
    <cellStyle name="Comma 37" xfId="250" xr:uid="{8AA9158F-08AF-4AC5-8B61-B83871526AA0}"/>
    <cellStyle name="Comma 38" xfId="190" xr:uid="{C22E6070-0A17-4BD7-B818-239ADD3EEB56}"/>
    <cellStyle name="Comma 4" xfId="36" xr:uid="{00000000-0005-0000-0000-000042000000}"/>
    <cellStyle name="Comma 4 3" xfId="192" xr:uid="{1BBDA96D-846E-4F06-9CC8-5261C32E2162}"/>
    <cellStyle name="Comma 4 3 2" xfId="197" xr:uid="{1A66A869-8F32-4B1D-8B11-9CF9148A8FBC}"/>
    <cellStyle name="Comma 5" xfId="37" xr:uid="{00000000-0005-0000-0000-000043000000}"/>
    <cellStyle name="Comma 6" xfId="38" xr:uid="{00000000-0005-0000-0000-000044000000}"/>
    <cellStyle name="Comma 6 2" xfId="221" xr:uid="{1ED1304F-CE8C-4811-907D-18530BE3AD6D}"/>
    <cellStyle name="Comma 6 3" xfId="199" xr:uid="{C9D563E6-4137-4E8C-B6CF-9E4C54E93EFA}"/>
    <cellStyle name="Comma 7" xfId="39" xr:uid="{00000000-0005-0000-0000-000045000000}"/>
    <cellStyle name="Comma 7 2" xfId="132" xr:uid="{00000000-0005-0000-0000-000046000000}"/>
    <cellStyle name="Comma 7 2 2" xfId="233" xr:uid="{A08A616B-EF1B-4F75-9247-EA100585DCB0}"/>
    <cellStyle name="Comma 7 3" xfId="222" xr:uid="{CECC73ED-C48D-4FE7-940D-D541514E7A09}"/>
    <cellStyle name="Comma 8" xfId="40" xr:uid="{00000000-0005-0000-0000-000047000000}"/>
    <cellStyle name="Comma 8 2" xfId="223" xr:uid="{69743575-683B-4C08-BAA0-7F43CFC85464}"/>
    <cellStyle name="Comma 8 3" xfId="193" xr:uid="{3454CA18-4919-4822-AFA5-194407AA15DE}"/>
    <cellStyle name="Comma 9" xfId="41" xr:uid="{00000000-0005-0000-0000-000048000000}"/>
    <cellStyle name="Comma 9 2" xfId="224" xr:uid="{12E2EA22-70CD-4072-ABF7-D6B050F42EAD}"/>
    <cellStyle name="comma(0)" xfId="42" xr:uid="{00000000-0005-0000-0000-000049000000}"/>
    <cellStyle name="Currency (0.00)" xfId="43" xr:uid="{00000000-0005-0000-0000-00004A000000}"/>
    <cellStyle name="Currency (0.00) 2" xfId="246" xr:uid="{7681FBB0-668A-4895-877A-2AD73641A6C8}"/>
    <cellStyle name="Currency (0.00) 3" xfId="225" xr:uid="{321569E7-BDAB-415F-BEF1-AAE4D7978D6F}"/>
    <cellStyle name="Currency [00]" xfId="44" xr:uid="{00000000-0005-0000-0000-00004B000000}"/>
    <cellStyle name="Currency 2" xfId="45" xr:uid="{00000000-0005-0000-0000-00004C000000}"/>
    <cellStyle name="Currency 3" xfId="176" xr:uid="{00000000-0005-0000-0000-00004D000000}"/>
    <cellStyle name="Custom - Style1" xfId="46" xr:uid="{00000000-0005-0000-0000-00004E000000}"/>
    <cellStyle name="Data   - Style2" xfId="47" xr:uid="{00000000-0005-0000-0000-00004F000000}"/>
    <cellStyle name="Date" xfId="48" xr:uid="{00000000-0005-0000-0000-000050000000}"/>
    <cellStyle name="Date Short" xfId="49" xr:uid="{00000000-0005-0000-0000-000051000000}"/>
    <cellStyle name="E&amp;Y House" xfId="50" xr:uid="{00000000-0005-0000-0000-000052000000}"/>
    <cellStyle name="Enter Currency (0)" xfId="51" xr:uid="{00000000-0005-0000-0000-000053000000}"/>
    <cellStyle name="Enter Currency (2)" xfId="52" xr:uid="{00000000-0005-0000-0000-000054000000}"/>
    <cellStyle name="Enter Units (0)" xfId="53" xr:uid="{00000000-0005-0000-0000-000055000000}"/>
    <cellStyle name="Enter Units (1)" xfId="54" xr:uid="{00000000-0005-0000-0000-000056000000}"/>
    <cellStyle name="Enter Units (2)" xfId="55" xr:uid="{00000000-0005-0000-0000-000057000000}"/>
    <cellStyle name="Fixed" xfId="56" xr:uid="{00000000-0005-0000-0000-000058000000}"/>
    <cellStyle name="Grey" xfId="57" xr:uid="{00000000-0005-0000-0000-000059000000}"/>
    <cellStyle name="Header1" xfId="58" xr:uid="{00000000-0005-0000-0000-00005A000000}"/>
    <cellStyle name="Header2" xfId="59" xr:uid="{00000000-0005-0000-0000-00005B000000}"/>
    <cellStyle name="heading" xfId="60" xr:uid="{00000000-0005-0000-0000-00005C000000}"/>
    <cellStyle name="Heading1" xfId="61" xr:uid="{00000000-0005-0000-0000-00005D000000}"/>
    <cellStyle name="Heading2" xfId="62" xr:uid="{00000000-0005-0000-0000-00005E000000}"/>
    <cellStyle name="Input [yellow]" xfId="63" xr:uid="{00000000-0005-0000-0000-00005F000000}"/>
    <cellStyle name="Input [yellow] 2" xfId="247" xr:uid="{194CF8FA-6405-4173-B92F-D693A84D9256}"/>
    <cellStyle name="Input [yellow] 3" xfId="226" xr:uid="{4EC62844-5D5C-4A32-B6AF-B81B181038F6}"/>
    <cellStyle name="Labels - Style3" xfId="64" xr:uid="{00000000-0005-0000-0000-000060000000}"/>
    <cellStyle name="Link Currency (0)" xfId="65" xr:uid="{00000000-0005-0000-0000-000061000000}"/>
    <cellStyle name="Link Currency (2)" xfId="66" xr:uid="{00000000-0005-0000-0000-000062000000}"/>
    <cellStyle name="Link Units (0)" xfId="67" xr:uid="{00000000-0005-0000-0000-000063000000}"/>
    <cellStyle name="Link Units (1)" xfId="68" xr:uid="{00000000-0005-0000-0000-000064000000}"/>
    <cellStyle name="Link Units (2)" xfId="69" xr:uid="{00000000-0005-0000-0000-000065000000}"/>
    <cellStyle name="List Entry Text" xfId="70" xr:uid="{00000000-0005-0000-0000-000066000000}"/>
    <cellStyle name="List Entry Text 2" xfId="248" xr:uid="{FEC865E5-6279-490E-9532-87C4F76CE5D0}"/>
    <cellStyle name="List Entry Text 3" xfId="227" xr:uid="{3D1122A1-0040-4EC8-8AA0-8B34316B26E8}"/>
    <cellStyle name="List Entry Text Shaded" xfId="71" xr:uid="{00000000-0005-0000-0000-000067000000}"/>
    <cellStyle name="List Entry Text Shaded 2" xfId="249" xr:uid="{B4DFD2A8-0BE1-4A2E-9651-5337F306987C}"/>
    <cellStyle name="List Entry Text Shaded 3" xfId="228" xr:uid="{85EA6084-6564-4795-8970-190DB938FD36}"/>
    <cellStyle name="Milliers [0]_AR1194" xfId="72" xr:uid="{00000000-0005-0000-0000-000068000000}"/>
    <cellStyle name="Milliers_AR1194" xfId="73" xr:uid="{00000000-0005-0000-0000-000069000000}"/>
    <cellStyle name="Monétaire [0]_AR1194" xfId="74" xr:uid="{00000000-0005-0000-0000-00006A000000}"/>
    <cellStyle name="Monétaire_AR1194" xfId="75" xr:uid="{00000000-0005-0000-0000-00006B000000}"/>
    <cellStyle name="Normal" xfId="0" builtinId="0"/>
    <cellStyle name="Normal - Style1" xfId="76" xr:uid="{00000000-0005-0000-0000-00006D000000}"/>
    <cellStyle name="Normal 10" xfId="152" xr:uid="{00000000-0005-0000-0000-00006E000000}"/>
    <cellStyle name="Normal 11" xfId="77" xr:uid="{00000000-0005-0000-0000-00006F000000}"/>
    <cellStyle name="Normal 12" xfId="153" xr:uid="{00000000-0005-0000-0000-000070000000}"/>
    <cellStyle name="Normal 13" xfId="134" xr:uid="{00000000-0005-0000-0000-000071000000}"/>
    <cellStyle name="Normal 14" xfId="154" xr:uid="{00000000-0005-0000-0000-000072000000}"/>
    <cellStyle name="Normal 15" xfId="155" xr:uid="{00000000-0005-0000-0000-000073000000}"/>
    <cellStyle name="Normal 16" xfId="156" xr:uid="{00000000-0005-0000-0000-000074000000}"/>
    <cellStyle name="Normal 17" xfId="138" xr:uid="{00000000-0005-0000-0000-000075000000}"/>
    <cellStyle name="Normal 18" xfId="157" xr:uid="{00000000-0005-0000-0000-000076000000}"/>
    <cellStyle name="Normal 19" xfId="158" xr:uid="{00000000-0005-0000-0000-000077000000}"/>
    <cellStyle name="Normal 2" xfId="78" xr:uid="{00000000-0005-0000-0000-000078000000}"/>
    <cellStyle name="Normal 2 2" xfId="79" xr:uid="{00000000-0005-0000-0000-000079000000}"/>
    <cellStyle name="Normal 2 2 2" xfId="131" xr:uid="{00000000-0005-0000-0000-00007A000000}"/>
    <cellStyle name="Normal 2 2 3" xfId="229" xr:uid="{2E4AF9E2-F964-41DF-BF68-6BA96AD44535}"/>
    <cellStyle name="Normal 2 2 4" xfId="201" xr:uid="{1270ABE9-503C-48D6-AFEB-7FBB115A6D52}"/>
    <cellStyle name="Normal 2 3" xfId="80" xr:uid="{00000000-0005-0000-0000-00007B000000}"/>
    <cellStyle name="Normal 2 4" xfId="81" xr:uid="{00000000-0005-0000-0000-00007C000000}"/>
    <cellStyle name="Normal 2 5" xfId="129" xr:uid="{00000000-0005-0000-0000-00007D000000}"/>
    <cellStyle name="Normal 2 6" xfId="188" xr:uid="{00000000-0005-0000-0000-00007E000000}"/>
    <cellStyle name="Normal 2_Mar 11 Leoni" xfId="82" xr:uid="{00000000-0005-0000-0000-00007F000000}"/>
    <cellStyle name="Normal 20" xfId="1" xr:uid="{00000000-0005-0000-0000-000080000000}"/>
    <cellStyle name="Normal 21" xfId="171" xr:uid="{00000000-0005-0000-0000-000081000000}"/>
    <cellStyle name="Normal 22" xfId="169" xr:uid="{00000000-0005-0000-0000-000082000000}"/>
    <cellStyle name="Normal 23" xfId="184" xr:uid="{00000000-0005-0000-0000-000083000000}"/>
    <cellStyle name="Normal 3" xfId="83" xr:uid="{00000000-0005-0000-0000-000084000000}"/>
    <cellStyle name="Normal 3 2" xfId="84" xr:uid="{00000000-0005-0000-0000-000085000000}"/>
    <cellStyle name="Normal 3 2 2" xfId="85" xr:uid="{00000000-0005-0000-0000-000086000000}"/>
    <cellStyle name="Normal 3 3" xfId="86" xr:uid="{00000000-0005-0000-0000-000087000000}"/>
    <cellStyle name="Normal 3 4" xfId="177" xr:uid="{00000000-0005-0000-0000-000088000000}"/>
    <cellStyle name="Normal 3_Mar 11 Leoni" xfId="87" xr:uid="{00000000-0005-0000-0000-000089000000}"/>
    <cellStyle name="Normal 4" xfId="88" xr:uid="{00000000-0005-0000-0000-00008A000000}"/>
    <cellStyle name="Normal 4 2" xfId="89" xr:uid="{00000000-0005-0000-0000-00008B000000}"/>
    <cellStyle name="Normal 4 3" xfId="90" xr:uid="{00000000-0005-0000-0000-00008C000000}"/>
    <cellStyle name="Normal 4_Mar 11 Leoni" xfId="91" xr:uid="{00000000-0005-0000-0000-00008D000000}"/>
    <cellStyle name="Normal 5" xfId="92" xr:uid="{00000000-0005-0000-0000-00008E000000}"/>
    <cellStyle name="Normal 6" xfId="93" xr:uid="{00000000-0005-0000-0000-00008F000000}"/>
    <cellStyle name="Normal 6 2" xfId="230" xr:uid="{0C4ED670-1D90-42D2-B339-545E126B4A22}"/>
    <cellStyle name="Normal 6 3" xfId="196" xr:uid="{67D2AB29-C900-4F35-B4BB-174FB34B4C7A}"/>
    <cellStyle name="Normal 6 4" xfId="198" xr:uid="{7E36DBF7-557E-4253-B118-94E93B8E295A}"/>
    <cellStyle name="Normal 7" xfId="3" xr:uid="{00000000-0005-0000-0000-000090000000}"/>
    <cellStyle name="Normal 8" xfId="127" xr:uid="{00000000-0005-0000-0000-000091000000}"/>
    <cellStyle name="Normal 9" xfId="159" xr:uid="{00000000-0005-0000-0000-000092000000}"/>
    <cellStyle name="NormalPERET956" xfId="160" xr:uid="{00000000-0005-0000-0000-000093000000}"/>
    <cellStyle name="Percent [0]" xfId="94" xr:uid="{00000000-0005-0000-0000-000094000000}"/>
    <cellStyle name="Percent [00]" xfId="95" xr:uid="{00000000-0005-0000-0000-000095000000}"/>
    <cellStyle name="Percent [2]" xfId="96" xr:uid="{00000000-0005-0000-0000-000096000000}"/>
    <cellStyle name="Percent 2" xfId="97" xr:uid="{00000000-0005-0000-0000-000097000000}"/>
    <cellStyle name="Percent 2 2" xfId="98" xr:uid="{00000000-0005-0000-0000-000098000000}"/>
    <cellStyle name="Percent 2 2 2" xfId="99" xr:uid="{00000000-0005-0000-0000-000099000000}"/>
    <cellStyle name="Percent 2 3" xfId="100" xr:uid="{00000000-0005-0000-0000-00009A000000}"/>
    <cellStyle name="Percent 2 4" xfId="101" xr:uid="{00000000-0005-0000-0000-00009B000000}"/>
    <cellStyle name="Percent 2 5" xfId="175" xr:uid="{00000000-0005-0000-0000-00009C000000}"/>
    <cellStyle name="Percent 2 6" xfId="231" xr:uid="{156A085B-F457-4E83-8A6F-B6713DBF80F1}"/>
    <cellStyle name="Percent 2 7" xfId="200" xr:uid="{024B7F52-8ABB-4C65-997B-FB3DA8F6B9A7}"/>
    <cellStyle name="Percent 2_Mar 11 Leoni" xfId="102" xr:uid="{00000000-0005-0000-0000-00009D000000}"/>
    <cellStyle name="Percent 3" xfId="103" xr:uid="{00000000-0005-0000-0000-00009E000000}"/>
    <cellStyle name="Percent 3 2" xfId="104" xr:uid="{00000000-0005-0000-0000-00009F000000}"/>
    <cellStyle name="Percent 4" xfId="105" xr:uid="{00000000-0005-0000-0000-0000A0000000}"/>
    <cellStyle name="Percent 5" xfId="161" xr:uid="{00000000-0005-0000-0000-0000A1000000}"/>
    <cellStyle name="Percent 6" xfId="168" xr:uid="{00000000-0005-0000-0000-0000A2000000}"/>
    <cellStyle name="Percent 7" xfId="173" xr:uid="{00000000-0005-0000-0000-0000A3000000}"/>
    <cellStyle name="Percent 8" xfId="186" xr:uid="{00000000-0005-0000-0000-0000A4000000}"/>
    <cellStyle name="PERCENTAGE" xfId="106" xr:uid="{00000000-0005-0000-0000-0000A5000000}"/>
    <cellStyle name="PrePop Currency (0)" xfId="107" xr:uid="{00000000-0005-0000-0000-0000A6000000}"/>
    <cellStyle name="PrePop Currency (2)" xfId="108" xr:uid="{00000000-0005-0000-0000-0000A7000000}"/>
    <cellStyle name="PrePop Units (0)" xfId="109" xr:uid="{00000000-0005-0000-0000-0000A8000000}"/>
    <cellStyle name="PrePop Units (1)" xfId="110" xr:uid="{00000000-0005-0000-0000-0000A9000000}"/>
    <cellStyle name="PrePop Units (2)" xfId="111" xr:uid="{00000000-0005-0000-0000-0000AA000000}"/>
    <cellStyle name="PSChar" xfId="162" xr:uid="{00000000-0005-0000-0000-0000AB000000}"/>
    <cellStyle name="PSDate" xfId="163" xr:uid="{00000000-0005-0000-0000-0000AC000000}"/>
    <cellStyle name="PSDec" xfId="164" xr:uid="{00000000-0005-0000-0000-0000AD000000}"/>
    <cellStyle name="PSHeading" xfId="165" xr:uid="{00000000-0005-0000-0000-0000AE000000}"/>
    <cellStyle name="PSSpacer" xfId="166" xr:uid="{00000000-0005-0000-0000-0000AF000000}"/>
    <cellStyle name="Reset  - Style4" xfId="112" xr:uid="{00000000-0005-0000-0000-0000B0000000}"/>
    <cellStyle name="sbt2" xfId="113" xr:uid="{00000000-0005-0000-0000-0000B1000000}"/>
    <cellStyle name="Style 1" xfId="114" xr:uid="{00000000-0005-0000-0000-0000B2000000}"/>
    <cellStyle name="subt1" xfId="115" xr:uid="{00000000-0005-0000-0000-0000B3000000}"/>
    <cellStyle name="Table  - Style5" xfId="116" xr:uid="{00000000-0005-0000-0000-0000B4000000}"/>
    <cellStyle name="Text Indent A" xfId="117" xr:uid="{00000000-0005-0000-0000-0000B5000000}"/>
    <cellStyle name="Text Indent B" xfId="118" xr:uid="{00000000-0005-0000-0000-0000B6000000}"/>
    <cellStyle name="Text Indent C" xfId="119" xr:uid="{00000000-0005-0000-0000-0000B7000000}"/>
    <cellStyle name="Times New Roman" xfId="120" xr:uid="{00000000-0005-0000-0000-0000B8000000}"/>
    <cellStyle name="Title  - Style6" xfId="121" xr:uid="{00000000-0005-0000-0000-0000B9000000}"/>
    <cellStyle name="TotCol - Style7" xfId="122" xr:uid="{00000000-0005-0000-0000-0000BA000000}"/>
    <cellStyle name="TotRow - Style8" xfId="123" xr:uid="{00000000-0005-0000-0000-0000BB000000}"/>
    <cellStyle name="Обычный_ОМРанг_1" xfId="167" xr:uid="{00000000-0005-0000-0000-0000BC000000}"/>
    <cellStyle name="ปกติ_LST_TB_MJ00" xfId="125" xr:uid="{00000000-0005-0000-0000-0000BD000000}"/>
    <cellStyle name="標準_0009E" xfId="126" xr:uid="{00000000-0005-0000-0000-0000BE00000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85"/>
  <sheetViews>
    <sheetView showGridLines="0" tabSelected="1" zoomScale="99" zoomScaleNormal="100" workbookViewId="0"/>
  </sheetViews>
  <sheetFormatPr defaultColWidth="9.109375" defaultRowHeight="14.4"/>
  <cols>
    <col min="1" max="1" width="2.77734375" style="2" customWidth="1"/>
    <col min="2" max="2" width="11" style="1" bestFit="1" customWidth="1"/>
    <col min="3" max="3" width="73.5546875" style="2" customWidth="1"/>
    <col min="4" max="4" width="25.77734375" style="26" customWidth="1"/>
    <col min="5" max="5" width="25.77734375" style="3" customWidth="1"/>
    <col min="6" max="6" width="20.33203125" style="2" customWidth="1"/>
    <col min="7" max="16384" width="9.109375" style="2"/>
  </cols>
  <sheetData>
    <row r="2" spans="2:6">
      <c r="B2" s="6" t="s">
        <v>44</v>
      </c>
    </row>
    <row r="3" spans="2:6">
      <c r="B3" s="6" t="s">
        <v>310</v>
      </c>
    </row>
    <row r="4" spans="2:6">
      <c r="B4" s="7" t="s">
        <v>47</v>
      </c>
    </row>
    <row r="5" spans="2:6">
      <c r="B5" s="7"/>
    </row>
    <row r="7" spans="2:6" s="1" customFormat="1">
      <c r="B7" s="4" t="s">
        <v>2</v>
      </c>
      <c r="C7" s="4" t="s">
        <v>3</v>
      </c>
      <c r="D7" s="27" t="s">
        <v>32</v>
      </c>
      <c r="E7" s="5" t="s">
        <v>4</v>
      </c>
    </row>
    <row r="8" spans="2:6" s="1" customFormat="1">
      <c r="B8" s="8">
        <v>1</v>
      </c>
      <c r="C8" s="60" t="s">
        <v>309</v>
      </c>
      <c r="D8" s="28"/>
      <c r="E8" s="22"/>
    </row>
    <row r="9" spans="2:6" s="1" customFormat="1">
      <c r="B9" s="8"/>
      <c r="C9" s="10"/>
      <c r="D9" s="29"/>
      <c r="E9" s="22"/>
    </row>
    <row r="10" spans="2:6">
      <c r="B10" s="8">
        <f>B8+1</f>
        <v>2</v>
      </c>
      <c r="C10" s="9" t="s">
        <v>311</v>
      </c>
      <c r="D10" s="30"/>
      <c r="E10" s="11"/>
    </row>
    <row r="11" spans="2:6">
      <c r="B11" s="8"/>
      <c r="C11" s="10" t="s">
        <v>0</v>
      </c>
      <c r="D11" s="31"/>
      <c r="E11" s="11"/>
      <c r="F11" s="12"/>
    </row>
    <row r="12" spans="2:6">
      <c r="B12" s="8"/>
      <c r="C12" s="10" t="s">
        <v>1</v>
      </c>
      <c r="D12" s="31"/>
      <c r="E12" s="11"/>
    </row>
    <row r="13" spans="2:6">
      <c r="B13" s="8"/>
      <c r="C13" s="11" t="s">
        <v>26</v>
      </c>
      <c r="D13" s="31"/>
      <c r="E13" s="11"/>
      <c r="F13" s="12"/>
    </row>
    <row r="14" spans="2:6">
      <c r="B14" s="8"/>
      <c r="C14" s="10" t="s">
        <v>15</v>
      </c>
      <c r="D14" s="31"/>
      <c r="E14" s="11" t="s">
        <v>56</v>
      </c>
    </row>
    <row r="15" spans="2:6">
      <c r="B15" s="8"/>
      <c r="C15" s="10" t="s">
        <v>16</v>
      </c>
      <c r="D15" s="31"/>
      <c r="E15" s="11"/>
    </row>
    <row r="16" spans="2:6">
      <c r="B16" s="8"/>
      <c r="C16" s="10"/>
      <c r="D16" s="30"/>
      <c r="E16" s="11"/>
    </row>
    <row r="17" spans="2:6" ht="28.8">
      <c r="B17" s="8">
        <f>B10+1</f>
        <v>3</v>
      </c>
      <c r="C17" s="13" t="s">
        <v>312</v>
      </c>
      <c r="D17" s="30"/>
      <c r="E17" s="11"/>
    </row>
    <row r="18" spans="2:6">
      <c r="B18" s="8"/>
      <c r="C18" s="10" t="s">
        <v>5</v>
      </c>
      <c r="D18" s="32"/>
      <c r="E18" s="11"/>
    </row>
    <row r="19" spans="2:6">
      <c r="B19" s="8"/>
      <c r="C19" s="10" t="s">
        <v>6</v>
      </c>
      <c r="D19" s="28"/>
      <c r="E19" s="11"/>
    </row>
    <row r="20" spans="2:6">
      <c r="B20" s="24"/>
      <c r="C20" s="23" t="s">
        <v>308</v>
      </c>
      <c r="D20" s="28"/>
      <c r="E20" s="25"/>
    </row>
    <row r="21" spans="2:6">
      <c r="B21" s="8"/>
      <c r="C21" s="10" t="s">
        <v>7</v>
      </c>
      <c r="D21" s="32"/>
      <c r="E21" s="11"/>
    </row>
    <row r="22" spans="2:6">
      <c r="B22" s="8"/>
      <c r="C22" s="14" t="s">
        <v>22</v>
      </c>
      <c r="D22" s="28"/>
      <c r="E22" s="11"/>
    </row>
    <row r="23" spans="2:6">
      <c r="B23" s="8"/>
      <c r="C23" s="14" t="s">
        <v>23</v>
      </c>
      <c r="D23" s="28"/>
      <c r="E23" s="11"/>
    </row>
    <row r="24" spans="2:6">
      <c r="B24" s="8"/>
      <c r="C24" s="14" t="s">
        <v>24</v>
      </c>
      <c r="D24" s="28"/>
      <c r="E24" s="11"/>
    </row>
    <row r="25" spans="2:6">
      <c r="B25" s="8"/>
      <c r="C25" s="14" t="s">
        <v>25</v>
      </c>
      <c r="D25" s="28"/>
      <c r="E25" s="11"/>
    </row>
    <row r="26" spans="2:6">
      <c r="B26" s="8"/>
      <c r="C26" s="10" t="s">
        <v>40</v>
      </c>
      <c r="D26" s="28"/>
      <c r="E26" s="10"/>
    </row>
    <row r="27" spans="2:6">
      <c r="B27" s="8"/>
      <c r="C27" s="10" t="s">
        <v>36</v>
      </c>
      <c r="D27" s="32"/>
      <c r="E27" s="10"/>
    </row>
    <row r="28" spans="2:6">
      <c r="B28" s="8"/>
      <c r="C28" s="10" t="s">
        <v>41</v>
      </c>
      <c r="D28" s="32"/>
      <c r="E28" s="11"/>
    </row>
    <row r="29" spans="2:6">
      <c r="B29" s="8"/>
      <c r="C29" s="10" t="s">
        <v>29</v>
      </c>
      <c r="D29" s="32"/>
      <c r="E29" s="11"/>
      <c r="F29" s="12"/>
    </row>
    <row r="30" spans="2:6">
      <c r="B30" s="8"/>
      <c r="C30" s="10" t="s">
        <v>322</v>
      </c>
      <c r="D30" s="30"/>
      <c r="E30" s="11"/>
    </row>
    <row r="31" spans="2:6">
      <c r="B31" s="24"/>
      <c r="C31" s="23" t="s">
        <v>323</v>
      </c>
      <c r="D31" s="33"/>
      <c r="E31" s="25"/>
    </row>
    <row r="32" spans="2:6">
      <c r="B32" s="8"/>
      <c r="C32" s="10"/>
      <c r="D32" s="30"/>
      <c r="E32" s="11"/>
    </row>
    <row r="33" spans="2:5" ht="57.6">
      <c r="B33" s="8">
        <f>B17+1</f>
        <v>4</v>
      </c>
      <c r="C33" s="13" t="s">
        <v>8</v>
      </c>
      <c r="D33" s="31"/>
      <c r="E33" s="11"/>
    </row>
    <row r="34" spans="2:5">
      <c r="B34" s="8"/>
      <c r="C34" s="10"/>
      <c r="D34" s="30"/>
      <c r="E34" s="11"/>
    </row>
    <row r="35" spans="2:5">
      <c r="B35" s="8">
        <f>B33+1</f>
        <v>5</v>
      </c>
      <c r="C35" s="9" t="s">
        <v>9</v>
      </c>
      <c r="D35" s="30"/>
      <c r="E35" s="11"/>
    </row>
    <row r="36" spans="2:5">
      <c r="B36" s="8"/>
      <c r="C36" s="20" t="s">
        <v>321</v>
      </c>
      <c r="D36" s="30"/>
      <c r="E36" s="11"/>
    </row>
    <row r="37" spans="2:5">
      <c r="B37" s="8"/>
      <c r="C37" s="20" t="s">
        <v>27</v>
      </c>
      <c r="D37" s="32"/>
      <c r="E37" s="16"/>
    </row>
    <row r="38" spans="2:5">
      <c r="B38" s="8"/>
      <c r="C38" s="15"/>
      <c r="D38" s="30"/>
      <c r="E38" s="11"/>
    </row>
    <row r="39" spans="2:5">
      <c r="B39" s="8">
        <f>B35+1</f>
        <v>6</v>
      </c>
      <c r="C39" s="9" t="s">
        <v>10</v>
      </c>
      <c r="D39" s="31"/>
      <c r="E39" s="11"/>
    </row>
    <row r="40" spans="2:5">
      <c r="B40" s="8"/>
      <c r="C40" s="11"/>
      <c r="D40" s="30"/>
      <c r="E40" s="11"/>
    </row>
    <row r="41" spans="2:5">
      <c r="B41" s="8">
        <f>B39+1</f>
        <v>7</v>
      </c>
      <c r="C41" s="13" t="s">
        <v>18</v>
      </c>
      <c r="D41" s="31"/>
      <c r="E41" s="11"/>
    </row>
    <row r="42" spans="2:5">
      <c r="B42" s="8"/>
      <c r="C42" s="10"/>
      <c r="D42" s="30"/>
      <c r="E42" s="11"/>
    </row>
    <row r="43" spans="2:5">
      <c r="B43" s="8">
        <f>B41+1</f>
        <v>8</v>
      </c>
      <c r="C43" s="9" t="s">
        <v>11</v>
      </c>
      <c r="D43" s="30"/>
      <c r="E43" s="11"/>
    </row>
    <row r="44" spans="2:5">
      <c r="B44" s="8"/>
      <c r="C44" s="11" t="s">
        <v>313</v>
      </c>
      <c r="D44" s="17"/>
      <c r="E44" s="11"/>
    </row>
    <row r="45" spans="2:5">
      <c r="B45" s="8"/>
      <c r="C45" s="11" t="s">
        <v>314</v>
      </c>
      <c r="D45" s="17"/>
      <c r="E45" s="11"/>
    </row>
    <row r="46" spans="2:5">
      <c r="B46" s="8"/>
      <c r="C46" s="11" t="s">
        <v>42</v>
      </c>
      <c r="D46" s="17"/>
      <c r="E46" s="11"/>
    </row>
    <row r="47" spans="2:5">
      <c r="B47" s="8"/>
      <c r="C47" s="10" t="s">
        <v>30</v>
      </c>
      <c r="D47" s="32"/>
      <c r="E47" s="11"/>
    </row>
    <row r="48" spans="2:5">
      <c r="B48" s="8"/>
      <c r="C48" s="10"/>
      <c r="D48" s="30"/>
      <c r="E48" s="11"/>
    </row>
    <row r="49" spans="2:5">
      <c r="B49" s="8">
        <f>B43+1</f>
        <v>9</v>
      </c>
      <c r="C49" s="9" t="s">
        <v>12</v>
      </c>
      <c r="D49" s="30"/>
      <c r="E49" s="11"/>
    </row>
    <row r="50" spans="2:5">
      <c r="B50" s="8"/>
      <c r="C50" s="11" t="s">
        <v>320</v>
      </c>
      <c r="D50" s="30"/>
      <c r="E50" s="11"/>
    </row>
    <row r="51" spans="2:5">
      <c r="B51" s="8"/>
      <c r="C51" s="13"/>
      <c r="D51" s="30"/>
      <c r="E51" s="11"/>
    </row>
    <row r="52" spans="2:5" ht="28.8">
      <c r="B52" s="8">
        <f>B49+1</f>
        <v>10</v>
      </c>
      <c r="C52" s="13" t="s">
        <v>315</v>
      </c>
      <c r="D52" s="31"/>
      <c r="E52" s="11"/>
    </row>
    <row r="53" spans="2:5">
      <c r="B53" s="8"/>
      <c r="C53" s="11"/>
      <c r="D53" s="28"/>
      <c r="E53" s="11"/>
    </row>
    <row r="54" spans="2:5">
      <c r="B54" s="8">
        <f>B52+1</f>
        <v>11</v>
      </c>
      <c r="C54" s="17" t="s">
        <v>316</v>
      </c>
      <c r="D54" s="30"/>
      <c r="E54" s="11"/>
    </row>
    <row r="55" spans="2:5">
      <c r="B55" s="8"/>
      <c r="C55" s="18" t="s">
        <v>317</v>
      </c>
      <c r="D55" s="30"/>
      <c r="E55" s="11"/>
    </row>
    <row r="56" spans="2:5">
      <c r="B56" s="8"/>
      <c r="C56" s="19"/>
      <c r="D56" s="30"/>
      <c r="E56" s="11"/>
    </row>
    <row r="57" spans="2:5">
      <c r="B57" s="8">
        <f>B54+1</f>
        <v>12</v>
      </c>
      <c r="C57" s="17" t="s">
        <v>13</v>
      </c>
      <c r="D57" s="30"/>
      <c r="E57" s="11"/>
    </row>
    <row r="58" spans="2:5">
      <c r="B58" s="8"/>
      <c r="C58" s="18" t="s">
        <v>19</v>
      </c>
      <c r="D58" s="32"/>
      <c r="E58" s="11"/>
    </row>
    <row r="59" spans="2:5" hidden="1">
      <c r="B59" s="8"/>
      <c r="C59" s="20"/>
      <c r="D59" s="30"/>
      <c r="E59" s="11"/>
    </row>
    <row r="60" spans="2:5" hidden="1">
      <c r="B60" s="8">
        <f>B57+1</f>
        <v>13</v>
      </c>
      <c r="C60" s="17" t="s">
        <v>38</v>
      </c>
      <c r="D60" s="30"/>
      <c r="E60" s="11"/>
    </row>
    <row r="61" spans="2:5" hidden="1">
      <c r="B61" s="8"/>
      <c r="C61" s="18" t="s">
        <v>45</v>
      </c>
      <c r="D61" s="30"/>
      <c r="E61" s="11"/>
    </row>
    <row r="62" spans="2:5">
      <c r="B62" s="8"/>
      <c r="C62" s="20"/>
      <c r="D62" s="30"/>
      <c r="E62" s="11"/>
    </row>
    <row r="63" spans="2:5">
      <c r="B63" s="8">
        <f>B57+1</f>
        <v>13</v>
      </c>
      <c r="C63" s="9" t="s">
        <v>39</v>
      </c>
      <c r="D63" s="30"/>
      <c r="E63" s="11"/>
    </row>
    <row r="64" spans="2:5">
      <c r="B64" s="8"/>
      <c r="C64" s="21" t="s">
        <v>107</v>
      </c>
      <c r="D64" s="31"/>
      <c r="E64" s="11" t="s">
        <v>318</v>
      </c>
    </row>
    <row r="65" spans="2:6">
      <c r="B65" s="8"/>
      <c r="C65" s="11" t="s">
        <v>37</v>
      </c>
      <c r="D65" s="31"/>
      <c r="E65" s="11"/>
    </row>
    <row r="66" spans="2:6">
      <c r="B66" s="24"/>
      <c r="C66" s="25" t="s">
        <v>65</v>
      </c>
      <c r="D66" s="31"/>
      <c r="E66" s="25"/>
    </row>
    <row r="67" spans="2:6">
      <c r="B67" s="24"/>
      <c r="C67" s="25" t="s">
        <v>307</v>
      </c>
      <c r="D67" s="31"/>
      <c r="E67" s="25"/>
    </row>
    <row r="68" spans="2:6">
      <c r="B68" s="24"/>
      <c r="C68" s="25"/>
      <c r="D68" s="33"/>
      <c r="E68" s="25"/>
    </row>
    <row r="69" spans="2:6">
      <c r="B69" s="8">
        <f>B63+1</f>
        <v>14</v>
      </c>
      <c r="C69" s="9" t="s">
        <v>58</v>
      </c>
      <c r="D69" s="30"/>
      <c r="E69" s="11"/>
    </row>
    <row r="70" spans="2:6">
      <c r="B70" s="8"/>
      <c r="C70" s="11" t="s">
        <v>319</v>
      </c>
      <c r="D70" s="17"/>
      <c r="E70" s="11"/>
    </row>
    <row r="71" spans="2:6">
      <c r="B71" s="8"/>
      <c r="C71" s="10" t="s">
        <v>14</v>
      </c>
      <c r="D71" s="17"/>
      <c r="E71" s="11"/>
    </row>
    <row r="72" spans="2:6">
      <c r="B72" s="8"/>
      <c r="C72" s="10" t="s">
        <v>31</v>
      </c>
      <c r="D72" s="17"/>
      <c r="E72" s="11"/>
    </row>
    <row r="73" spans="2:6">
      <c r="B73" s="8"/>
      <c r="C73" s="10" t="s">
        <v>17</v>
      </c>
      <c r="D73" s="30"/>
      <c r="E73" s="11"/>
    </row>
    <row r="74" spans="2:6">
      <c r="B74" s="8"/>
      <c r="C74" s="10" t="s">
        <v>21</v>
      </c>
      <c r="D74" s="31"/>
      <c r="E74" s="11"/>
    </row>
    <row r="75" spans="2:6">
      <c r="B75" s="8"/>
      <c r="C75" s="10" t="s">
        <v>28</v>
      </c>
      <c r="D75" s="31"/>
      <c r="E75" s="11"/>
    </row>
    <row r="76" spans="2:6">
      <c r="B76" s="8"/>
      <c r="C76" s="10"/>
      <c r="D76" s="30"/>
      <c r="E76" s="11"/>
    </row>
    <row r="77" spans="2:6">
      <c r="B77" s="8">
        <f>B69+1</f>
        <v>15</v>
      </c>
      <c r="C77" s="9" t="s">
        <v>57</v>
      </c>
      <c r="D77" s="30"/>
      <c r="E77" s="11"/>
    </row>
    <row r="78" spans="2:6">
      <c r="B78" s="8"/>
      <c r="C78" s="10" t="s">
        <v>20</v>
      </c>
      <c r="D78" s="31"/>
      <c r="E78" s="11" t="s">
        <v>318</v>
      </c>
    </row>
    <row r="79" spans="2:6">
      <c r="B79" s="8"/>
      <c r="C79" s="10" t="s">
        <v>63</v>
      </c>
      <c r="D79" s="30"/>
      <c r="E79" s="11"/>
      <c r="F79" s="12"/>
    </row>
    <row r="80" spans="2:6">
      <c r="B80" s="8"/>
      <c r="C80" s="10" t="s">
        <v>33</v>
      </c>
      <c r="D80" s="31"/>
      <c r="E80" s="11"/>
      <c r="F80" s="12"/>
    </row>
    <row r="81" spans="2:6">
      <c r="B81" s="8"/>
      <c r="C81" s="10" t="s">
        <v>34</v>
      </c>
      <c r="D81" s="30"/>
      <c r="E81" s="11"/>
      <c r="F81" s="12"/>
    </row>
    <row r="82" spans="2:6">
      <c r="B82" s="8"/>
      <c r="C82" s="23" t="s">
        <v>43</v>
      </c>
      <c r="D82" s="31"/>
      <c r="E82" s="11"/>
    </row>
    <row r="83" spans="2:6">
      <c r="B83" s="8"/>
      <c r="C83" s="10" t="s">
        <v>46</v>
      </c>
      <c r="D83" s="30"/>
      <c r="E83" s="11"/>
    </row>
    <row r="85" spans="2:6">
      <c r="C85" s="51" t="s">
        <v>279</v>
      </c>
    </row>
  </sheetData>
  <autoFilter ref="B7:E83" xr:uid="{00000000-0009-0000-0000-000001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0A335-E436-4034-A451-A6FBFD5FEBE6}">
  <dimension ref="B2:C14"/>
  <sheetViews>
    <sheetView showGridLines="0" workbookViewId="0"/>
  </sheetViews>
  <sheetFormatPr defaultRowHeight="14.4"/>
  <cols>
    <col min="1" max="1" width="1.77734375" customWidth="1"/>
    <col min="2" max="2" width="30.77734375" bestFit="1" customWidth="1"/>
  </cols>
  <sheetData>
    <row r="2" spans="2:3">
      <c r="B2" s="6" t="str">
        <f>'Requirement list'!B2</f>
        <v>ETHDC Technologies Pvt. Ltd</v>
      </c>
    </row>
    <row r="3" spans="2:3">
      <c r="B3" s="6" t="str">
        <f>'Requirement list'!B3</f>
        <v>Statutory Audit for the year ended March 31, 2026</v>
      </c>
    </row>
    <row r="4" spans="2:3">
      <c r="B4" s="41" t="s">
        <v>54</v>
      </c>
    </row>
    <row r="7" spans="2:3">
      <c r="B7" s="34" t="s">
        <v>48</v>
      </c>
      <c r="C7" s="59"/>
    </row>
    <row r="8" spans="2:3">
      <c r="B8" s="35" t="s">
        <v>49</v>
      </c>
    </row>
    <row r="9" spans="2:3">
      <c r="B9" s="35" t="s">
        <v>50</v>
      </c>
    </row>
    <row r="10" spans="2:3">
      <c r="B10" s="35" t="s">
        <v>51</v>
      </c>
    </row>
    <row r="11" spans="2:3">
      <c r="B11" s="35" t="s">
        <v>324</v>
      </c>
    </row>
    <row r="12" spans="2:3">
      <c r="B12" s="35" t="s">
        <v>52</v>
      </c>
    </row>
    <row r="13" spans="2:3">
      <c r="B13" s="35" t="s">
        <v>53</v>
      </c>
    </row>
    <row r="14" spans="2:3">
      <c r="B14" s="35"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44E76-70DB-4D8A-8499-D0D6DCB4AB20}">
  <dimension ref="B2:L31"/>
  <sheetViews>
    <sheetView showGridLines="0" workbookViewId="0">
      <selection activeCell="J15" sqref="J15"/>
    </sheetView>
  </sheetViews>
  <sheetFormatPr defaultRowHeight="14.4"/>
  <cols>
    <col min="1" max="1" width="1.77734375" customWidth="1"/>
    <col min="2" max="2" width="10.33203125" bestFit="1" customWidth="1"/>
    <col min="3" max="3" width="42.77734375" bestFit="1" customWidth="1"/>
    <col min="4" max="4" width="13.88671875" bestFit="1" customWidth="1"/>
    <col min="5" max="5" width="5.77734375" bestFit="1" customWidth="1"/>
    <col min="6" max="6" width="11" bestFit="1" customWidth="1"/>
    <col min="10" max="10" width="6.88671875" bestFit="1" customWidth="1"/>
    <col min="11" max="11" width="40.6640625" bestFit="1" customWidth="1"/>
  </cols>
  <sheetData>
    <row r="2" spans="2:12">
      <c r="B2" s="6" t="str">
        <f>'Requirement list'!B2</f>
        <v>ETHDC Technologies Pvt. Ltd</v>
      </c>
    </row>
    <row r="3" spans="2:12">
      <c r="B3" s="6" t="str">
        <f>'Requirement list'!B3</f>
        <v>Statutory Audit for the year ended March 31, 2026</v>
      </c>
    </row>
    <row r="4" spans="2:12">
      <c r="B4" s="6" t="str">
        <f>'Requirement list'!B4</f>
        <v>Preliminary Requirement list</v>
      </c>
    </row>
    <row r="6" spans="2:12">
      <c r="B6" s="36" t="s">
        <v>64</v>
      </c>
    </row>
    <row r="8" spans="2:12">
      <c r="B8" s="37" t="s">
        <v>108</v>
      </c>
      <c r="J8" s="37" t="s">
        <v>109</v>
      </c>
    </row>
    <row r="10" spans="2:12">
      <c r="B10" s="39" t="s">
        <v>66</v>
      </c>
      <c r="C10" s="39" t="s">
        <v>67</v>
      </c>
      <c r="D10" s="39" t="s">
        <v>68</v>
      </c>
      <c r="E10" s="39" t="s">
        <v>106</v>
      </c>
      <c r="F10" s="39" t="s">
        <v>105</v>
      </c>
      <c r="G10" s="39" t="s">
        <v>290</v>
      </c>
      <c r="J10" s="39" t="s">
        <v>110</v>
      </c>
      <c r="K10" s="39" t="s">
        <v>67</v>
      </c>
      <c r="L10" s="39" t="s">
        <v>290</v>
      </c>
    </row>
    <row r="11" spans="2:12">
      <c r="B11" s="38">
        <v>45385</v>
      </c>
      <c r="C11" s="35" t="s">
        <v>69</v>
      </c>
      <c r="D11" s="53" t="s">
        <v>84</v>
      </c>
      <c r="E11" s="35"/>
      <c r="F11" s="35">
        <v>693541.4</v>
      </c>
      <c r="G11" t="s">
        <v>35</v>
      </c>
      <c r="J11" s="35">
        <v>1</v>
      </c>
      <c r="K11" s="40" t="s">
        <v>111</v>
      </c>
      <c r="L11" t="s">
        <v>305</v>
      </c>
    </row>
    <row r="12" spans="2:12">
      <c r="B12" s="38">
        <v>45415</v>
      </c>
      <c r="C12" s="35" t="s">
        <v>70</v>
      </c>
      <c r="D12" s="35" t="s">
        <v>85</v>
      </c>
      <c r="E12" s="35"/>
      <c r="F12" s="35">
        <v>152213.4</v>
      </c>
      <c r="J12" s="35">
        <v>2</v>
      </c>
      <c r="K12" s="35" t="s">
        <v>61</v>
      </c>
      <c r="L12" t="s">
        <v>35</v>
      </c>
    </row>
    <row r="13" spans="2:12">
      <c r="B13" s="38">
        <v>45457</v>
      </c>
      <c r="C13" s="35" t="s">
        <v>71</v>
      </c>
      <c r="D13" s="53" t="s">
        <v>86</v>
      </c>
      <c r="E13" s="35"/>
      <c r="F13" s="35">
        <v>920483.37</v>
      </c>
      <c r="G13" t="s">
        <v>35</v>
      </c>
      <c r="J13" s="35">
        <v>3</v>
      </c>
      <c r="K13" s="35" t="s">
        <v>78</v>
      </c>
      <c r="L13" t="s">
        <v>35</v>
      </c>
    </row>
    <row r="14" spans="2:12">
      <c r="B14" s="38">
        <v>45489</v>
      </c>
      <c r="C14" s="35" t="s">
        <v>60</v>
      </c>
      <c r="D14" s="53" t="s">
        <v>87</v>
      </c>
      <c r="E14" s="35"/>
      <c r="F14" s="35">
        <v>1024030.58</v>
      </c>
      <c r="G14" t="s">
        <v>35</v>
      </c>
      <c r="J14" s="35">
        <v>4</v>
      </c>
      <c r="K14" s="35" t="s">
        <v>112</v>
      </c>
    </row>
    <row r="15" spans="2:12">
      <c r="B15" s="38">
        <v>45506</v>
      </c>
      <c r="C15" s="35" t="s">
        <v>72</v>
      </c>
      <c r="D15" s="53" t="s">
        <v>88</v>
      </c>
      <c r="E15" s="35"/>
      <c r="F15" s="35">
        <v>441679.63</v>
      </c>
      <c r="G15" t="s">
        <v>35</v>
      </c>
      <c r="J15" s="35">
        <v>5</v>
      </c>
      <c r="K15" s="35" t="s">
        <v>60</v>
      </c>
    </row>
    <row r="16" spans="2:12">
      <c r="B16" s="38">
        <v>45533</v>
      </c>
      <c r="C16" s="35" t="s">
        <v>73</v>
      </c>
      <c r="D16" s="53" t="s">
        <v>89</v>
      </c>
      <c r="E16" s="35"/>
      <c r="F16" s="35">
        <v>258904.72</v>
      </c>
      <c r="G16" t="s">
        <v>35</v>
      </c>
      <c r="J16" s="35">
        <v>6</v>
      </c>
      <c r="K16" s="35" t="s">
        <v>59</v>
      </c>
      <c r="L16" t="s">
        <v>35</v>
      </c>
    </row>
    <row r="17" spans="2:12">
      <c r="B17" s="38">
        <v>45538</v>
      </c>
      <c r="C17" s="35" t="s">
        <v>62</v>
      </c>
      <c r="D17" s="53" t="s">
        <v>90</v>
      </c>
      <c r="E17" s="35"/>
      <c r="F17" s="35">
        <v>96000</v>
      </c>
      <c r="G17" t="s">
        <v>35</v>
      </c>
      <c r="J17" s="35">
        <v>7</v>
      </c>
      <c r="K17" s="40" t="s">
        <v>113</v>
      </c>
      <c r="L17" t="s">
        <v>304</v>
      </c>
    </row>
    <row r="18" spans="2:12">
      <c r="B18" s="38">
        <v>45540</v>
      </c>
      <c r="C18" s="35" t="s">
        <v>74</v>
      </c>
      <c r="D18" s="53" t="s">
        <v>91</v>
      </c>
      <c r="E18" s="35"/>
      <c r="F18" s="35">
        <v>230893.56</v>
      </c>
      <c r="G18" t="s">
        <v>35</v>
      </c>
    </row>
    <row r="19" spans="2:12">
      <c r="B19" s="38">
        <v>45572</v>
      </c>
      <c r="C19" s="35" t="s">
        <v>75</v>
      </c>
      <c r="D19" s="53" t="s">
        <v>92</v>
      </c>
      <c r="E19" s="35"/>
      <c r="F19" s="35">
        <v>217640.32000000001</v>
      </c>
      <c r="G19" t="s">
        <v>35</v>
      </c>
    </row>
    <row r="20" spans="2:12">
      <c r="B20" s="38">
        <v>45572</v>
      </c>
      <c r="C20" s="35" t="s">
        <v>76</v>
      </c>
      <c r="D20" s="53" t="s">
        <v>93</v>
      </c>
      <c r="E20" s="35"/>
      <c r="F20" s="35">
        <v>287753.75</v>
      </c>
      <c r="G20" t="s">
        <v>35</v>
      </c>
    </row>
    <row r="21" spans="2:12">
      <c r="B21" s="38">
        <v>45600</v>
      </c>
      <c r="C21" s="35" t="s">
        <v>77</v>
      </c>
      <c r="D21" s="53" t="s">
        <v>94</v>
      </c>
      <c r="E21" s="35"/>
      <c r="F21" s="35">
        <v>248060.16</v>
      </c>
      <c r="G21" t="s">
        <v>35</v>
      </c>
    </row>
    <row r="22" spans="2:12">
      <c r="B22" s="38">
        <v>45602</v>
      </c>
      <c r="C22" s="35" t="s">
        <v>78</v>
      </c>
      <c r="D22" s="53" t="s">
        <v>95</v>
      </c>
      <c r="E22" s="35"/>
      <c r="F22" s="35">
        <v>260428.73</v>
      </c>
      <c r="G22" t="s">
        <v>35</v>
      </c>
    </row>
    <row r="23" spans="2:12">
      <c r="B23" s="38">
        <v>45625</v>
      </c>
      <c r="C23" s="35" t="s">
        <v>59</v>
      </c>
      <c r="D23" s="53" t="s">
        <v>96</v>
      </c>
      <c r="E23" s="35"/>
      <c r="F23" s="35">
        <v>1450385.25</v>
      </c>
      <c r="G23" t="s">
        <v>35</v>
      </c>
    </row>
    <row r="24" spans="2:12">
      <c r="B24" s="38">
        <v>45653</v>
      </c>
      <c r="C24" s="35" t="s">
        <v>60</v>
      </c>
      <c r="D24" s="53" t="s">
        <v>97</v>
      </c>
      <c r="E24" s="35"/>
      <c r="F24" s="35">
        <v>744584.32</v>
      </c>
      <c r="G24" t="s">
        <v>35</v>
      </c>
    </row>
    <row r="25" spans="2:12">
      <c r="B25" s="38">
        <v>45656</v>
      </c>
      <c r="C25" s="35" t="s">
        <v>79</v>
      </c>
      <c r="D25" s="53" t="s">
        <v>98</v>
      </c>
      <c r="E25" s="35"/>
      <c r="F25" s="35">
        <v>409594.93</v>
      </c>
      <c r="G25" t="s">
        <v>35</v>
      </c>
    </row>
    <row r="26" spans="2:12">
      <c r="B26" s="38">
        <v>45660</v>
      </c>
      <c r="C26" s="35" t="s">
        <v>71</v>
      </c>
      <c r="D26" s="53" t="s">
        <v>99</v>
      </c>
      <c r="E26" s="35"/>
      <c r="F26" s="35">
        <v>1756141.95</v>
      </c>
      <c r="G26" t="s">
        <v>35</v>
      </c>
    </row>
    <row r="27" spans="2:12">
      <c r="B27" s="38">
        <v>45666</v>
      </c>
      <c r="C27" s="35" t="s">
        <v>80</v>
      </c>
      <c r="D27" s="35" t="s">
        <v>100</v>
      </c>
      <c r="E27" s="35"/>
      <c r="F27" s="35">
        <v>421700.48</v>
      </c>
    </row>
    <row r="28" spans="2:12">
      <c r="B28" s="38">
        <v>45691</v>
      </c>
      <c r="C28" s="35" t="s">
        <v>81</v>
      </c>
      <c r="D28" s="53" t="s">
        <v>101</v>
      </c>
      <c r="E28" s="35"/>
      <c r="F28" s="35">
        <v>455892.41</v>
      </c>
      <c r="G28" t="s">
        <v>35</v>
      </c>
    </row>
    <row r="29" spans="2:12">
      <c r="B29" s="38">
        <v>45691</v>
      </c>
      <c r="C29" s="35" t="s">
        <v>82</v>
      </c>
      <c r="D29" s="53" t="s">
        <v>102</v>
      </c>
      <c r="E29" s="35"/>
      <c r="F29" s="35">
        <v>890357.88</v>
      </c>
      <c r="G29" t="s">
        <v>35</v>
      </c>
    </row>
    <row r="30" spans="2:12">
      <c r="B30" s="38">
        <v>45728</v>
      </c>
      <c r="C30" s="35" t="s">
        <v>61</v>
      </c>
      <c r="D30" s="53" t="s">
        <v>103</v>
      </c>
      <c r="E30" s="35"/>
      <c r="F30" s="35">
        <v>603037.86</v>
      </c>
      <c r="G30" t="s">
        <v>35</v>
      </c>
    </row>
    <row r="31" spans="2:12">
      <c r="B31" s="38">
        <v>45741</v>
      </c>
      <c r="C31" s="35" t="s">
        <v>83</v>
      </c>
      <c r="D31" s="53" t="s">
        <v>104</v>
      </c>
      <c r="E31" s="35"/>
      <c r="F31" s="35">
        <v>500000</v>
      </c>
      <c r="G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719C-4762-4CA2-A3A0-96881247D50E}">
  <dimension ref="B2:W85"/>
  <sheetViews>
    <sheetView showGridLines="0" topLeftCell="A19" workbookViewId="0">
      <selection activeCell="B2" sqref="B2"/>
    </sheetView>
  </sheetViews>
  <sheetFormatPr defaultRowHeight="14.4"/>
  <cols>
    <col min="1" max="1" width="1.77734375" customWidth="1"/>
    <col min="2" max="2" width="10.33203125" bestFit="1" customWidth="1"/>
    <col min="3" max="3" width="24.21875" bestFit="1" customWidth="1"/>
    <col min="4" max="4" width="31.5546875" bestFit="1" customWidth="1"/>
    <col min="12" max="12" width="11.33203125" bestFit="1" customWidth="1"/>
  </cols>
  <sheetData>
    <row r="2" spans="2:23">
      <c r="B2" s="41" t="str">
        <f>'Requirement list'!B2</f>
        <v>ETHDC Technologies Pvt. Ltd</v>
      </c>
    </row>
    <row r="3" spans="2:23">
      <c r="B3" s="41" t="str">
        <f>'Requirement list'!B3</f>
        <v>Statutory Audit for the year ended March 31, 2026</v>
      </c>
    </row>
    <row r="4" spans="2:23">
      <c r="B4" s="41" t="str">
        <f>'Requirement list'!B4</f>
        <v>Preliminary Requirement list</v>
      </c>
    </row>
    <row r="6" spans="2:23">
      <c r="B6" s="36" t="s">
        <v>114</v>
      </c>
    </row>
    <row r="8" spans="2:23">
      <c r="B8" s="37" t="s">
        <v>115</v>
      </c>
    </row>
    <row r="10" spans="2:23">
      <c r="B10" s="41" t="s">
        <v>116</v>
      </c>
    </row>
    <row r="12" spans="2:23">
      <c r="B12" s="42" t="s">
        <v>164</v>
      </c>
      <c r="C12" s="42" t="s">
        <v>117</v>
      </c>
      <c r="D12" s="42" t="s">
        <v>119</v>
      </c>
      <c r="E12" s="42" t="s">
        <v>120</v>
      </c>
      <c r="F12" s="42" t="s">
        <v>121</v>
      </c>
      <c r="G12" s="42" t="s">
        <v>122</v>
      </c>
      <c r="H12" s="42" t="s">
        <v>123</v>
      </c>
      <c r="I12" s="42" t="s">
        <v>124</v>
      </c>
      <c r="J12" s="42" t="s">
        <v>125</v>
      </c>
      <c r="K12" s="42" t="s">
        <v>126</v>
      </c>
      <c r="L12" s="42" t="s">
        <v>127</v>
      </c>
      <c r="M12" s="42" t="s">
        <v>128</v>
      </c>
      <c r="N12" s="42" t="s">
        <v>129</v>
      </c>
      <c r="O12" s="42" t="s">
        <v>130</v>
      </c>
      <c r="P12" s="42" t="s">
        <v>131</v>
      </c>
      <c r="Q12" s="42" t="s">
        <v>132</v>
      </c>
      <c r="R12" s="42" t="s">
        <v>133</v>
      </c>
      <c r="S12" s="42" t="s">
        <v>134</v>
      </c>
      <c r="T12" s="42" t="s">
        <v>135</v>
      </c>
      <c r="U12" s="42" t="s">
        <v>136</v>
      </c>
      <c r="V12" s="42" t="s">
        <v>137</v>
      </c>
    </row>
    <row r="13" spans="2:23">
      <c r="B13" s="45">
        <v>45453</v>
      </c>
      <c r="C13" s="46" t="s">
        <v>118</v>
      </c>
      <c r="D13" s="46" t="s">
        <v>138</v>
      </c>
      <c r="E13" s="46" t="s">
        <v>139</v>
      </c>
      <c r="F13" s="46" t="s">
        <v>140</v>
      </c>
      <c r="G13" s="46" t="s">
        <v>140</v>
      </c>
      <c r="H13" s="46" t="s">
        <v>140</v>
      </c>
      <c r="I13" s="46" t="s">
        <v>141</v>
      </c>
      <c r="J13" s="46" t="s">
        <v>140</v>
      </c>
      <c r="K13" s="46" t="s">
        <v>142</v>
      </c>
      <c r="L13" s="46">
        <v>4830</v>
      </c>
      <c r="M13" s="46" t="s">
        <v>140</v>
      </c>
      <c r="N13" s="46">
        <v>4830</v>
      </c>
      <c r="O13" s="46" t="s">
        <v>143</v>
      </c>
      <c r="P13" s="46" t="s">
        <v>144</v>
      </c>
      <c r="Q13" s="46" t="s">
        <v>140</v>
      </c>
      <c r="R13" s="46" t="s">
        <v>140</v>
      </c>
      <c r="S13" s="46" t="s">
        <v>145</v>
      </c>
      <c r="T13" s="46" t="s">
        <v>146</v>
      </c>
      <c r="U13" s="46" t="s">
        <v>146</v>
      </c>
      <c r="V13" s="46" t="s">
        <v>147</v>
      </c>
      <c r="W13" s="58" t="s">
        <v>306</v>
      </c>
    </row>
    <row r="14" spans="2:23">
      <c r="B14" s="45">
        <v>45565</v>
      </c>
      <c r="C14" s="46" t="s">
        <v>118</v>
      </c>
      <c r="D14" s="46" t="s">
        <v>148</v>
      </c>
      <c r="E14" s="46" t="s">
        <v>149</v>
      </c>
      <c r="F14" s="46" t="s">
        <v>140</v>
      </c>
      <c r="G14" s="46" t="s">
        <v>140</v>
      </c>
      <c r="H14" s="46" t="s">
        <v>140</v>
      </c>
      <c r="I14" s="46" t="s">
        <v>141</v>
      </c>
      <c r="J14" s="46" t="s">
        <v>140</v>
      </c>
      <c r="K14" s="46" t="s">
        <v>150</v>
      </c>
      <c r="L14" s="46">
        <v>180000</v>
      </c>
      <c r="M14" s="46" t="s">
        <v>140</v>
      </c>
      <c r="N14" s="46">
        <v>180000</v>
      </c>
      <c r="O14" s="46" t="s">
        <v>151</v>
      </c>
      <c r="P14" s="46" t="s">
        <v>144</v>
      </c>
      <c r="Q14" s="46" t="s">
        <v>140</v>
      </c>
      <c r="R14" s="46" t="s">
        <v>140</v>
      </c>
      <c r="S14" s="46" t="s">
        <v>145</v>
      </c>
      <c r="T14" s="46" t="s">
        <v>146</v>
      </c>
      <c r="U14" s="46" t="s">
        <v>146</v>
      </c>
      <c r="V14" s="46" t="s">
        <v>147</v>
      </c>
      <c r="W14" s="58" t="s">
        <v>306</v>
      </c>
    </row>
    <row r="15" spans="2:23">
      <c r="B15" s="45">
        <v>45626</v>
      </c>
      <c r="C15" s="46" t="s">
        <v>118</v>
      </c>
      <c r="D15" s="46" t="s">
        <v>152</v>
      </c>
      <c r="E15" s="46" t="s">
        <v>153</v>
      </c>
      <c r="F15" s="46" t="s">
        <v>140</v>
      </c>
      <c r="G15" s="46" t="s">
        <v>140</v>
      </c>
      <c r="H15" s="46" t="s">
        <v>140</v>
      </c>
      <c r="I15" s="46" t="s">
        <v>141</v>
      </c>
      <c r="J15" s="46" t="s">
        <v>140</v>
      </c>
      <c r="K15" s="46" t="s">
        <v>154</v>
      </c>
      <c r="L15" s="46">
        <v>17500</v>
      </c>
      <c r="M15" s="46" t="s">
        <v>140</v>
      </c>
      <c r="N15" s="46">
        <v>17500</v>
      </c>
      <c r="O15" s="46" t="s">
        <v>155</v>
      </c>
      <c r="P15" s="46" t="s">
        <v>144</v>
      </c>
      <c r="Q15" s="46" t="s">
        <v>140</v>
      </c>
      <c r="R15" s="46" t="s">
        <v>140</v>
      </c>
      <c r="S15" s="46" t="s">
        <v>145</v>
      </c>
      <c r="T15" s="46" t="s">
        <v>146</v>
      </c>
      <c r="U15" s="46" t="s">
        <v>146</v>
      </c>
      <c r="V15" s="46" t="s">
        <v>147</v>
      </c>
      <c r="W15" s="58" t="s">
        <v>306</v>
      </c>
    </row>
    <row r="16" spans="2:23">
      <c r="B16" s="45">
        <v>45741</v>
      </c>
      <c r="C16" s="46" t="s">
        <v>118</v>
      </c>
      <c r="D16" s="46" t="s">
        <v>156</v>
      </c>
      <c r="E16" s="46" t="s">
        <v>157</v>
      </c>
      <c r="F16" s="46" t="s">
        <v>140</v>
      </c>
      <c r="G16" s="46" t="s">
        <v>140</v>
      </c>
      <c r="H16" s="46" t="s">
        <v>140</v>
      </c>
      <c r="I16" s="46" t="s">
        <v>141</v>
      </c>
      <c r="J16" s="46" t="s">
        <v>140</v>
      </c>
      <c r="K16" s="46" t="s">
        <v>158</v>
      </c>
      <c r="L16" s="46">
        <v>81830</v>
      </c>
      <c r="M16" s="46" t="s">
        <v>140</v>
      </c>
      <c r="N16" s="46">
        <v>81830</v>
      </c>
      <c r="O16" s="46" t="s">
        <v>159</v>
      </c>
      <c r="P16" s="46" t="s">
        <v>144</v>
      </c>
      <c r="Q16" s="46" t="s">
        <v>140</v>
      </c>
      <c r="R16" s="46" t="s">
        <v>140</v>
      </c>
      <c r="S16" s="46" t="s">
        <v>145</v>
      </c>
      <c r="T16" s="46" t="s">
        <v>146</v>
      </c>
      <c r="U16" s="46" t="s">
        <v>146</v>
      </c>
      <c r="V16" s="46" t="s">
        <v>147</v>
      </c>
      <c r="W16" s="58" t="s">
        <v>306</v>
      </c>
    </row>
    <row r="17" spans="2:23">
      <c r="B17" s="47">
        <v>45742</v>
      </c>
      <c r="C17" s="48" t="s">
        <v>118</v>
      </c>
      <c r="D17" s="48" t="s">
        <v>160</v>
      </c>
      <c r="E17" s="48" t="s">
        <v>161</v>
      </c>
      <c r="F17" s="48" t="s">
        <v>140</v>
      </c>
      <c r="G17" s="48" t="s">
        <v>140</v>
      </c>
      <c r="H17" s="48" t="s">
        <v>140</v>
      </c>
      <c r="I17" s="48" t="s">
        <v>141</v>
      </c>
      <c r="J17" s="48" t="s">
        <v>140</v>
      </c>
      <c r="K17" s="48" t="s">
        <v>162</v>
      </c>
      <c r="L17" s="48">
        <v>328548</v>
      </c>
      <c r="M17" s="48" t="s">
        <v>140</v>
      </c>
      <c r="N17" s="48">
        <v>328548</v>
      </c>
      <c r="O17" s="48" t="s">
        <v>163</v>
      </c>
      <c r="P17" s="48" t="s">
        <v>144</v>
      </c>
      <c r="Q17" s="48" t="s">
        <v>140</v>
      </c>
      <c r="R17" s="48" t="s">
        <v>140</v>
      </c>
      <c r="S17" s="48" t="s">
        <v>145</v>
      </c>
      <c r="T17" s="48" t="s">
        <v>146</v>
      </c>
      <c r="U17" s="48" t="s">
        <v>146</v>
      </c>
      <c r="V17" s="48" t="s">
        <v>147</v>
      </c>
      <c r="W17" s="58" t="s">
        <v>306</v>
      </c>
    </row>
    <row r="20" spans="2:23">
      <c r="B20" s="41" t="s">
        <v>165</v>
      </c>
    </row>
    <row r="22" spans="2:23">
      <c r="B22" t="s">
        <v>166</v>
      </c>
    </row>
    <row r="24" spans="2:23">
      <c r="B24" s="42" t="s">
        <v>164</v>
      </c>
      <c r="C24" s="42" t="s">
        <v>117</v>
      </c>
      <c r="D24" s="42" t="s">
        <v>119</v>
      </c>
      <c r="E24" s="42" t="s">
        <v>120</v>
      </c>
      <c r="F24" s="42" t="s">
        <v>121</v>
      </c>
      <c r="G24" s="42" t="s">
        <v>122</v>
      </c>
      <c r="H24" s="42" t="s">
        <v>123</v>
      </c>
      <c r="I24" s="42" t="s">
        <v>124</v>
      </c>
      <c r="J24" s="42" t="s">
        <v>125</v>
      </c>
      <c r="K24" s="42" t="s">
        <v>126</v>
      </c>
      <c r="L24" s="42" t="s">
        <v>127</v>
      </c>
      <c r="M24" s="42" t="s">
        <v>128</v>
      </c>
      <c r="N24" s="42" t="s">
        <v>129</v>
      </c>
      <c r="O24" s="42" t="s">
        <v>130</v>
      </c>
      <c r="P24" s="42" t="s">
        <v>131</v>
      </c>
      <c r="Q24" s="42" t="s">
        <v>132</v>
      </c>
      <c r="R24" s="42" t="s">
        <v>133</v>
      </c>
      <c r="S24" s="42" t="s">
        <v>134</v>
      </c>
      <c r="T24" s="42" t="s">
        <v>135</v>
      </c>
      <c r="U24" s="42" t="s">
        <v>136</v>
      </c>
      <c r="V24" s="42" t="s">
        <v>137</v>
      </c>
    </row>
    <row r="25" spans="2:23">
      <c r="B25" s="45">
        <v>45444</v>
      </c>
      <c r="C25" s="46" t="s">
        <v>167</v>
      </c>
      <c r="D25" s="46" t="s">
        <v>168</v>
      </c>
      <c r="E25" s="46" t="s">
        <v>169</v>
      </c>
      <c r="F25" s="46" t="s">
        <v>140</v>
      </c>
      <c r="G25" s="46" t="s">
        <v>140</v>
      </c>
      <c r="H25" s="46" t="s">
        <v>140</v>
      </c>
      <c r="I25" s="46" t="s">
        <v>141</v>
      </c>
      <c r="J25" s="46" t="s">
        <v>140</v>
      </c>
      <c r="K25" s="46" t="s">
        <v>170</v>
      </c>
      <c r="L25" s="46">
        <v>13600</v>
      </c>
      <c r="M25" s="46" t="s">
        <v>140</v>
      </c>
      <c r="N25" s="46">
        <v>13600</v>
      </c>
      <c r="O25" s="46" t="s">
        <v>171</v>
      </c>
      <c r="P25" s="46" t="s">
        <v>172</v>
      </c>
      <c r="Q25" s="46" t="s">
        <v>140</v>
      </c>
      <c r="R25" s="46" t="s">
        <v>140</v>
      </c>
      <c r="S25" s="46" t="s">
        <v>145</v>
      </c>
      <c r="T25" s="46" t="s">
        <v>146</v>
      </c>
      <c r="U25" s="46" t="s">
        <v>146</v>
      </c>
      <c r="V25" s="46" t="s">
        <v>147</v>
      </c>
      <c r="W25" s="58" t="s">
        <v>306</v>
      </c>
    </row>
    <row r="26" spans="2:23">
      <c r="B26" s="45">
        <v>45576</v>
      </c>
      <c r="C26" s="46" t="s">
        <v>167</v>
      </c>
      <c r="D26" s="46" t="s">
        <v>173</v>
      </c>
      <c r="E26" s="46" t="s">
        <v>174</v>
      </c>
      <c r="F26" s="46" t="s">
        <v>140</v>
      </c>
      <c r="G26" s="46" t="s">
        <v>140</v>
      </c>
      <c r="H26" s="46" t="s">
        <v>140</v>
      </c>
      <c r="I26" s="46" t="s">
        <v>141</v>
      </c>
      <c r="J26" s="46" t="s">
        <v>140</v>
      </c>
      <c r="K26" s="46" t="s">
        <v>175</v>
      </c>
      <c r="L26" s="46">
        <v>447680</v>
      </c>
      <c r="M26" s="46" t="s">
        <v>140</v>
      </c>
      <c r="N26" s="46">
        <v>447680</v>
      </c>
      <c r="O26" s="46" t="s">
        <v>176</v>
      </c>
      <c r="P26" s="46" t="s">
        <v>172</v>
      </c>
      <c r="Q26" s="46" t="s">
        <v>140</v>
      </c>
      <c r="R26" s="46" t="s">
        <v>140</v>
      </c>
      <c r="S26" s="46" t="s">
        <v>145</v>
      </c>
      <c r="T26" s="46" t="s">
        <v>146</v>
      </c>
      <c r="U26" s="46" t="s">
        <v>146</v>
      </c>
      <c r="V26" s="46" t="s">
        <v>147</v>
      </c>
      <c r="W26" s="58" t="s">
        <v>306</v>
      </c>
    </row>
    <row r="27" spans="2:23">
      <c r="B27" s="47">
        <v>45660</v>
      </c>
      <c r="C27" s="48" t="s">
        <v>231</v>
      </c>
      <c r="D27" s="48" t="s">
        <v>232</v>
      </c>
      <c r="E27" s="48" t="s">
        <v>233</v>
      </c>
      <c r="F27" s="48" t="s">
        <v>140</v>
      </c>
      <c r="G27" s="48" t="s">
        <v>140</v>
      </c>
      <c r="H27" s="48" t="s">
        <v>140</v>
      </c>
      <c r="I27" s="48" t="s">
        <v>141</v>
      </c>
      <c r="J27" s="48" t="s">
        <v>140</v>
      </c>
      <c r="K27" s="48" t="s">
        <v>234</v>
      </c>
      <c r="L27" s="48">
        <v>146220</v>
      </c>
      <c r="M27" s="48" t="s">
        <v>140</v>
      </c>
      <c r="N27" s="48">
        <v>146220</v>
      </c>
      <c r="O27" s="48" t="s">
        <v>235</v>
      </c>
      <c r="P27" s="48" t="s">
        <v>236</v>
      </c>
      <c r="Q27" s="48" t="s">
        <v>140</v>
      </c>
      <c r="R27" s="48" t="s">
        <v>140</v>
      </c>
      <c r="S27" s="48" t="s">
        <v>145</v>
      </c>
      <c r="T27" s="48" t="s">
        <v>146</v>
      </c>
      <c r="U27" s="48" t="s">
        <v>198</v>
      </c>
      <c r="V27" s="48" t="s">
        <v>147</v>
      </c>
      <c r="W27" s="58" t="s">
        <v>306</v>
      </c>
    </row>
    <row r="29" spans="2:23">
      <c r="B29" s="41" t="s">
        <v>192</v>
      </c>
    </row>
    <row r="31" spans="2:23">
      <c r="B31" s="42" t="s">
        <v>164</v>
      </c>
      <c r="C31" s="42" t="s">
        <v>117</v>
      </c>
      <c r="D31" s="42" t="s">
        <v>119</v>
      </c>
      <c r="E31" s="42" t="s">
        <v>120</v>
      </c>
      <c r="F31" s="42" t="s">
        <v>121</v>
      </c>
      <c r="G31" s="42" t="s">
        <v>122</v>
      </c>
      <c r="H31" s="42" t="s">
        <v>123</v>
      </c>
      <c r="I31" s="42" t="s">
        <v>124</v>
      </c>
      <c r="J31" s="42" t="s">
        <v>125</v>
      </c>
      <c r="K31" s="42" t="s">
        <v>126</v>
      </c>
      <c r="L31" s="42" t="s">
        <v>127</v>
      </c>
      <c r="M31" s="42" t="s">
        <v>128</v>
      </c>
      <c r="N31" s="42" t="s">
        <v>129</v>
      </c>
      <c r="O31" s="42" t="s">
        <v>130</v>
      </c>
      <c r="P31" s="42" t="s">
        <v>131</v>
      </c>
      <c r="Q31" s="42" t="s">
        <v>132</v>
      </c>
      <c r="R31" s="42" t="s">
        <v>133</v>
      </c>
      <c r="S31" s="42" t="s">
        <v>134</v>
      </c>
      <c r="T31" s="42" t="s">
        <v>135</v>
      </c>
      <c r="U31" s="42" t="s">
        <v>136</v>
      </c>
      <c r="V31" s="42" t="s">
        <v>137</v>
      </c>
    </row>
    <row r="32" spans="2:23">
      <c r="B32" s="45">
        <v>45446</v>
      </c>
      <c r="C32" s="46" t="s">
        <v>177</v>
      </c>
      <c r="D32" s="46" t="s">
        <v>178</v>
      </c>
      <c r="E32" s="46" t="s">
        <v>179</v>
      </c>
      <c r="F32" s="46" t="s">
        <v>140</v>
      </c>
      <c r="G32" s="46" t="s">
        <v>140</v>
      </c>
      <c r="H32" s="46" t="s">
        <v>140</v>
      </c>
      <c r="I32" s="46" t="s">
        <v>180</v>
      </c>
      <c r="J32" s="46" t="s">
        <v>140</v>
      </c>
      <c r="K32" s="46" t="s">
        <v>181</v>
      </c>
      <c r="L32" s="46">
        <v>15505.36</v>
      </c>
      <c r="M32" s="46" t="s">
        <v>140</v>
      </c>
      <c r="N32" s="46">
        <v>15505.36</v>
      </c>
      <c r="O32" s="46" t="s">
        <v>182</v>
      </c>
      <c r="P32" s="46" t="s">
        <v>183</v>
      </c>
      <c r="Q32" s="46" t="s">
        <v>140</v>
      </c>
      <c r="R32" s="46" t="s">
        <v>140</v>
      </c>
      <c r="S32" s="46" t="s">
        <v>145</v>
      </c>
      <c r="T32" s="46" t="s">
        <v>146</v>
      </c>
      <c r="U32" s="46" t="s">
        <v>146</v>
      </c>
      <c r="V32" s="46" t="s">
        <v>147</v>
      </c>
      <c r="W32" s="58" t="s">
        <v>306</v>
      </c>
    </row>
    <row r="33" spans="2:23">
      <c r="B33" s="45">
        <v>45490</v>
      </c>
      <c r="C33" s="46" t="s">
        <v>177</v>
      </c>
      <c r="D33" s="46" t="s">
        <v>184</v>
      </c>
      <c r="E33" s="46" t="s">
        <v>185</v>
      </c>
      <c r="F33" s="46" t="s">
        <v>140</v>
      </c>
      <c r="G33" s="46" t="s">
        <v>140</v>
      </c>
      <c r="H33" s="46" t="s">
        <v>140</v>
      </c>
      <c r="I33" s="46" t="s">
        <v>180</v>
      </c>
      <c r="J33" s="46" t="s">
        <v>140</v>
      </c>
      <c r="K33" s="46" t="s">
        <v>186</v>
      </c>
      <c r="L33" s="46">
        <v>32500</v>
      </c>
      <c r="M33" s="46" t="s">
        <v>140</v>
      </c>
      <c r="N33" s="46">
        <v>32500</v>
      </c>
      <c r="O33" s="46" t="s">
        <v>182</v>
      </c>
      <c r="P33" s="46" t="s">
        <v>183</v>
      </c>
      <c r="Q33" s="46" t="s">
        <v>140</v>
      </c>
      <c r="R33" s="46" t="s">
        <v>140</v>
      </c>
      <c r="S33" s="46" t="s">
        <v>145</v>
      </c>
      <c r="T33" s="46" t="s">
        <v>146</v>
      </c>
      <c r="U33" s="46" t="s">
        <v>146</v>
      </c>
      <c r="V33" s="46" t="s">
        <v>147</v>
      </c>
      <c r="W33" s="58" t="s">
        <v>306</v>
      </c>
    </row>
    <row r="34" spans="2:23">
      <c r="B34" s="47">
        <v>45657</v>
      </c>
      <c r="C34" s="48" t="s">
        <v>177</v>
      </c>
      <c r="D34" s="48" t="s">
        <v>187</v>
      </c>
      <c r="E34" s="48" t="s">
        <v>188</v>
      </c>
      <c r="F34" s="48" t="s">
        <v>140</v>
      </c>
      <c r="G34" s="48" t="s">
        <v>189</v>
      </c>
      <c r="H34" s="48" t="s">
        <v>190</v>
      </c>
      <c r="I34" s="48" t="s">
        <v>146</v>
      </c>
      <c r="J34" s="48" t="s">
        <v>140</v>
      </c>
      <c r="K34" s="48" t="s">
        <v>140</v>
      </c>
      <c r="L34" s="48">
        <v>11776.4</v>
      </c>
      <c r="M34" s="48" t="s">
        <v>140</v>
      </c>
      <c r="N34" s="48">
        <v>11776.4</v>
      </c>
      <c r="O34" s="48" t="s">
        <v>182</v>
      </c>
      <c r="P34" s="48" t="s">
        <v>183</v>
      </c>
      <c r="Q34" s="48" t="s">
        <v>140</v>
      </c>
      <c r="R34" s="48" t="s">
        <v>191</v>
      </c>
      <c r="S34" s="48" t="s">
        <v>145</v>
      </c>
      <c r="T34" s="48" t="s">
        <v>146</v>
      </c>
      <c r="U34" s="48" t="s">
        <v>146</v>
      </c>
      <c r="V34" s="48" t="s">
        <v>147</v>
      </c>
      <c r="W34" s="58" t="s">
        <v>306</v>
      </c>
    </row>
    <row r="37" spans="2:23">
      <c r="B37" s="41" t="s">
        <v>207</v>
      </c>
    </row>
    <row r="39" spans="2:23">
      <c r="B39" s="42" t="s">
        <v>164</v>
      </c>
      <c r="C39" s="42" t="s">
        <v>117</v>
      </c>
      <c r="D39" s="42" t="s">
        <v>119</v>
      </c>
      <c r="E39" s="42" t="s">
        <v>120</v>
      </c>
      <c r="F39" s="42" t="s">
        <v>121</v>
      </c>
      <c r="G39" s="42" t="s">
        <v>122</v>
      </c>
      <c r="H39" s="42" t="s">
        <v>123</v>
      </c>
      <c r="I39" s="42" t="s">
        <v>124</v>
      </c>
      <c r="J39" s="42" t="s">
        <v>125</v>
      </c>
      <c r="K39" s="42" t="s">
        <v>126</v>
      </c>
      <c r="L39" s="43" t="s">
        <v>127</v>
      </c>
      <c r="M39" s="42" t="s">
        <v>128</v>
      </c>
      <c r="N39" s="42" t="s">
        <v>129</v>
      </c>
      <c r="O39" s="42" t="s">
        <v>130</v>
      </c>
      <c r="P39" s="42" t="s">
        <v>131</v>
      </c>
      <c r="Q39" s="42" t="s">
        <v>132</v>
      </c>
      <c r="R39" s="42" t="s">
        <v>133</v>
      </c>
      <c r="S39" s="42" t="s">
        <v>134</v>
      </c>
      <c r="T39" s="42" t="s">
        <v>135</v>
      </c>
      <c r="U39" s="42" t="s">
        <v>136</v>
      </c>
      <c r="V39" s="42" t="s">
        <v>137</v>
      </c>
    </row>
    <row r="40" spans="2:23">
      <c r="B40" s="45">
        <v>45400</v>
      </c>
      <c r="C40" s="46" t="s">
        <v>193</v>
      </c>
      <c r="D40" s="46" t="s">
        <v>194</v>
      </c>
      <c r="E40" s="46" t="s">
        <v>195</v>
      </c>
      <c r="F40" s="46" t="s">
        <v>140</v>
      </c>
      <c r="G40" s="46" t="s">
        <v>140</v>
      </c>
      <c r="H40" s="46" t="s">
        <v>140</v>
      </c>
      <c r="I40" s="46" t="s">
        <v>180</v>
      </c>
      <c r="J40" s="46" t="s">
        <v>140</v>
      </c>
      <c r="K40" s="46" t="s">
        <v>196</v>
      </c>
      <c r="L40" s="49">
        <v>134866.04999999999</v>
      </c>
      <c r="M40" s="46" t="s">
        <v>140</v>
      </c>
      <c r="N40" s="46">
        <v>134866.04999999999</v>
      </c>
      <c r="O40" s="46" t="s">
        <v>182</v>
      </c>
      <c r="P40" s="46" t="s">
        <v>197</v>
      </c>
      <c r="Q40" s="46" t="s">
        <v>140</v>
      </c>
      <c r="R40" s="46" t="s">
        <v>140</v>
      </c>
      <c r="S40" s="46" t="s">
        <v>145</v>
      </c>
      <c r="T40" s="46" t="s">
        <v>146</v>
      </c>
      <c r="U40" s="46" t="s">
        <v>198</v>
      </c>
      <c r="V40" s="46" t="s">
        <v>147</v>
      </c>
      <c r="W40" s="58" t="s">
        <v>306</v>
      </c>
    </row>
    <row r="41" spans="2:23">
      <c r="B41" s="45">
        <v>45435</v>
      </c>
      <c r="C41" s="46" t="s">
        <v>193</v>
      </c>
      <c r="D41" s="46" t="s">
        <v>199</v>
      </c>
      <c r="E41" s="46" t="s">
        <v>200</v>
      </c>
      <c r="F41" s="46" t="s">
        <v>140</v>
      </c>
      <c r="G41" s="46" t="s">
        <v>140</v>
      </c>
      <c r="H41" s="46" t="s">
        <v>140</v>
      </c>
      <c r="I41" s="46" t="s">
        <v>180</v>
      </c>
      <c r="J41" s="46" t="s">
        <v>140</v>
      </c>
      <c r="K41" s="46" t="s">
        <v>201</v>
      </c>
      <c r="L41" s="49">
        <v>108237</v>
      </c>
      <c r="M41" s="46" t="s">
        <v>140</v>
      </c>
      <c r="N41" s="46">
        <v>108237</v>
      </c>
      <c r="O41" s="46" t="s">
        <v>182</v>
      </c>
      <c r="P41" s="46" t="s">
        <v>197</v>
      </c>
      <c r="Q41" s="46" t="s">
        <v>140</v>
      </c>
      <c r="R41" s="46" t="s">
        <v>140</v>
      </c>
      <c r="S41" s="46" t="s">
        <v>145</v>
      </c>
      <c r="T41" s="46" t="s">
        <v>146</v>
      </c>
      <c r="U41" s="46" t="s">
        <v>198</v>
      </c>
      <c r="V41" s="46" t="s">
        <v>147</v>
      </c>
      <c r="W41" s="58" t="s">
        <v>306</v>
      </c>
    </row>
    <row r="42" spans="2:23">
      <c r="B42" s="45">
        <v>45673</v>
      </c>
      <c r="C42" s="46" t="s">
        <v>193</v>
      </c>
      <c r="D42" s="46" t="s">
        <v>202</v>
      </c>
      <c r="E42" s="46" t="s">
        <v>204</v>
      </c>
      <c r="F42" s="46" t="s">
        <v>140</v>
      </c>
      <c r="G42" s="46" t="s">
        <v>140</v>
      </c>
      <c r="H42" s="46" t="s">
        <v>140</v>
      </c>
      <c r="I42" s="46" t="s">
        <v>141</v>
      </c>
      <c r="J42" s="46" t="s">
        <v>140</v>
      </c>
      <c r="K42" s="46" t="s">
        <v>205</v>
      </c>
      <c r="L42" s="49">
        <v>176117</v>
      </c>
      <c r="M42" s="46" t="s">
        <v>140</v>
      </c>
      <c r="N42" s="46">
        <v>176117</v>
      </c>
      <c r="O42" s="46" t="s">
        <v>203</v>
      </c>
      <c r="P42" s="46" t="s">
        <v>197</v>
      </c>
      <c r="Q42" s="46" t="s">
        <v>140</v>
      </c>
      <c r="R42" s="46" t="s">
        <v>206</v>
      </c>
      <c r="S42" s="46" t="s">
        <v>145</v>
      </c>
      <c r="T42" s="46" t="s">
        <v>146</v>
      </c>
      <c r="U42" s="46" t="s">
        <v>198</v>
      </c>
      <c r="V42" s="46" t="s">
        <v>147</v>
      </c>
      <c r="W42" s="58" t="s">
        <v>306</v>
      </c>
    </row>
    <row r="43" spans="2:23">
      <c r="B43" s="45">
        <v>45576</v>
      </c>
      <c r="C43" s="46" t="s">
        <v>208</v>
      </c>
      <c r="D43" s="46" t="s">
        <v>209</v>
      </c>
      <c r="E43" s="46" t="s">
        <v>210</v>
      </c>
      <c r="F43" s="46" t="s">
        <v>140</v>
      </c>
      <c r="G43" s="46" t="s">
        <v>140</v>
      </c>
      <c r="H43" s="46" t="s">
        <v>140</v>
      </c>
      <c r="I43" s="46" t="s">
        <v>141</v>
      </c>
      <c r="J43" s="46" t="s">
        <v>140</v>
      </c>
      <c r="K43" s="46" t="s">
        <v>211</v>
      </c>
      <c r="L43" s="49">
        <v>5000</v>
      </c>
      <c r="M43" s="46" t="s">
        <v>140</v>
      </c>
      <c r="N43" s="46">
        <v>5000</v>
      </c>
      <c r="O43" s="46" t="s">
        <v>212</v>
      </c>
      <c r="P43" s="46" t="s">
        <v>213</v>
      </c>
      <c r="Q43" s="46" t="s">
        <v>140</v>
      </c>
      <c r="R43" s="46" t="s">
        <v>140</v>
      </c>
      <c r="S43" s="46" t="s">
        <v>145</v>
      </c>
      <c r="T43" s="46" t="s">
        <v>146</v>
      </c>
      <c r="U43" s="46" t="s">
        <v>198</v>
      </c>
      <c r="V43" s="46" t="s">
        <v>147</v>
      </c>
    </row>
    <row r="44" spans="2:23">
      <c r="B44" s="45">
        <v>45454</v>
      </c>
      <c r="C44" s="46" t="s">
        <v>214</v>
      </c>
      <c r="D44" s="46" t="s">
        <v>215</v>
      </c>
      <c r="E44" s="46" t="s">
        <v>216</v>
      </c>
      <c r="F44" s="46" t="s">
        <v>140</v>
      </c>
      <c r="G44" s="46" t="s">
        <v>140</v>
      </c>
      <c r="H44" s="46" t="s">
        <v>140</v>
      </c>
      <c r="I44" s="46" t="s">
        <v>180</v>
      </c>
      <c r="J44" s="46" t="s">
        <v>140</v>
      </c>
      <c r="K44" s="46" t="s">
        <v>217</v>
      </c>
      <c r="L44" s="49">
        <v>5000</v>
      </c>
      <c r="M44" s="46" t="s">
        <v>140</v>
      </c>
      <c r="N44" s="46">
        <v>5000</v>
      </c>
      <c r="O44" s="46" t="s">
        <v>182</v>
      </c>
      <c r="P44" s="46" t="s">
        <v>218</v>
      </c>
      <c r="Q44" s="46" t="s">
        <v>140</v>
      </c>
      <c r="R44" s="46" t="s">
        <v>140</v>
      </c>
      <c r="S44" s="46" t="s">
        <v>145</v>
      </c>
      <c r="T44" s="46" t="s">
        <v>146</v>
      </c>
      <c r="U44" s="46" t="s">
        <v>198</v>
      </c>
      <c r="V44" s="46" t="s">
        <v>147</v>
      </c>
    </row>
    <row r="45" spans="2:23">
      <c r="B45" s="45">
        <v>45453</v>
      </c>
      <c r="C45" s="46" t="s">
        <v>214</v>
      </c>
      <c r="D45" s="46" t="s">
        <v>219</v>
      </c>
      <c r="E45" s="46" t="s">
        <v>220</v>
      </c>
      <c r="F45" s="46" t="s">
        <v>140</v>
      </c>
      <c r="G45" s="46" t="s">
        <v>140</v>
      </c>
      <c r="H45" s="46" t="s">
        <v>140</v>
      </c>
      <c r="I45" s="46" t="s">
        <v>180</v>
      </c>
      <c r="J45" s="46" t="s">
        <v>140</v>
      </c>
      <c r="K45" s="46" t="s">
        <v>221</v>
      </c>
      <c r="L45" s="50">
        <v>23659</v>
      </c>
      <c r="M45" s="50" t="s">
        <v>140</v>
      </c>
      <c r="N45" s="50">
        <v>23659</v>
      </c>
      <c r="O45" s="46" t="s">
        <v>182</v>
      </c>
      <c r="P45" s="46" t="s">
        <v>218</v>
      </c>
      <c r="Q45" s="46" t="s">
        <v>140</v>
      </c>
      <c r="R45" s="46" t="s">
        <v>140</v>
      </c>
      <c r="S45" s="46" t="s">
        <v>145</v>
      </c>
      <c r="T45" s="46" t="s">
        <v>146</v>
      </c>
      <c r="U45" s="46" t="s">
        <v>198</v>
      </c>
      <c r="V45" s="46" t="s">
        <v>147</v>
      </c>
      <c r="W45" s="58" t="s">
        <v>306</v>
      </c>
    </row>
    <row r="46" spans="2:23">
      <c r="B46" s="45">
        <v>45543</v>
      </c>
      <c r="C46" s="46" t="s">
        <v>222</v>
      </c>
      <c r="D46" s="46" t="s">
        <v>223</v>
      </c>
      <c r="E46" s="46" t="s">
        <v>224</v>
      </c>
      <c r="F46" s="46" t="s">
        <v>140</v>
      </c>
      <c r="G46" s="46" t="s">
        <v>140</v>
      </c>
      <c r="H46" s="46" t="s">
        <v>140</v>
      </c>
      <c r="I46" s="46" t="s">
        <v>180</v>
      </c>
      <c r="J46" s="46" t="s">
        <v>140</v>
      </c>
      <c r="K46" s="46" t="s">
        <v>225</v>
      </c>
      <c r="L46" s="46">
        <v>3905</v>
      </c>
      <c r="M46" s="46" t="s">
        <v>140</v>
      </c>
      <c r="N46" s="46">
        <v>3905</v>
      </c>
      <c r="O46" s="46" t="s">
        <v>182</v>
      </c>
      <c r="P46" s="46" t="s">
        <v>226</v>
      </c>
      <c r="Q46" s="46" t="s">
        <v>140</v>
      </c>
      <c r="R46" s="46" t="s">
        <v>140</v>
      </c>
      <c r="S46" s="46" t="s">
        <v>145</v>
      </c>
      <c r="T46" s="46" t="s">
        <v>146</v>
      </c>
      <c r="U46" s="46" t="s">
        <v>198</v>
      </c>
      <c r="V46" s="46" t="s">
        <v>147</v>
      </c>
      <c r="W46" s="58" t="s">
        <v>306</v>
      </c>
    </row>
    <row r="47" spans="2:23">
      <c r="B47" s="47">
        <v>45553</v>
      </c>
      <c r="C47" s="48" t="s">
        <v>227</v>
      </c>
      <c r="D47" s="48" t="s">
        <v>187</v>
      </c>
      <c r="E47" s="48" t="s">
        <v>228</v>
      </c>
      <c r="F47" s="48" t="s">
        <v>140</v>
      </c>
      <c r="G47" s="48" t="s">
        <v>189</v>
      </c>
      <c r="H47" s="48" t="s">
        <v>190</v>
      </c>
      <c r="I47" s="48" t="s">
        <v>146</v>
      </c>
      <c r="J47" s="48" t="s">
        <v>140</v>
      </c>
      <c r="K47" s="48" t="s">
        <v>140</v>
      </c>
      <c r="L47" s="48">
        <v>25768</v>
      </c>
      <c r="M47" s="48" t="s">
        <v>140</v>
      </c>
      <c r="N47" s="48">
        <v>25768</v>
      </c>
      <c r="O47" s="48" t="s">
        <v>182</v>
      </c>
      <c r="P47" s="48" t="s">
        <v>229</v>
      </c>
      <c r="Q47" s="48" t="s">
        <v>140</v>
      </c>
      <c r="R47" s="48" t="s">
        <v>230</v>
      </c>
      <c r="S47" s="48" t="s">
        <v>145</v>
      </c>
      <c r="T47" s="48" t="s">
        <v>146</v>
      </c>
      <c r="U47" s="48" t="s">
        <v>146</v>
      </c>
      <c r="V47" s="48" t="s">
        <v>147</v>
      </c>
    </row>
    <row r="50" spans="2:23">
      <c r="B50" s="41" t="s">
        <v>253</v>
      </c>
    </row>
    <row r="52" spans="2:23">
      <c r="B52" s="42" t="s">
        <v>164</v>
      </c>
      <c r="C52" s="42" t="s">
        <v>117</v>
      </c>
      <c r="D52" s="42" t="s">
        <v>119</v>
      </c>
      <c r="E52" s="42" t="s">
        <v>120</v>
      </c>
      <c r="F52" s="42" t="s">
        <v>121</v>
      </c>
      <c r="G52" s="42" t="s">
        <v>122</v>
      </c>
      <c r="H52" s="42" t="s">
        <v>123</v>
      </c>
      <c r="I52" s="42" t="s">
        <v>124</v>
      </c>
      <c r="J52" s="42" t="s">
        <v>125</v>
      </c>
      <c r="K52" s="42" t="s">
        <v>126</v>
      </c>
      <c r="L52" s="43" t="s">
        <v>127</v>
      </c>
      <c r="M52" s="42" t="s">
        <v>128</v>
      </c>
      <c r="N52" s="42" t="s">
        <v>129</v>
      </c>
      <c r="O52" s="42" t="s">
        <v>130</v>
      </c>
      <c r="P52" s="42" t="s">
        <v>131</v>
      </c>
      <c r="Q52" s="42" t="s">
        <v>132</v>
      </c>
      <c r="R52" s="42" t="s">
        <v>133</v>
      </c>
      <c r="S52" s="42" t="s">
        <v>134</v>
      </c>
      <c r="T52" s="42" t="s">
        <v>135</v>
      </c>
      <c r="U52" s="42" t="s">
        <v>136</v>
      </c>
      <c r="V52" s="42" t="s">
        <v>137</v>
      </c>
    </row>
    <row r="53" spans="2:23">
      <c r="B53" s="45">
        <v>45547</v>
      </c>
      <c r="C53" s="46" t="s">
        <v>237</v>
      </c>
      <c r="D53" s="46" t="s">
        <v>238</v>
      </c>
      <c r="E53" s="46" t="s">
        <v>239</v>
      </c>
      <c r="F53" s="46" t="s">
        <v>140</v>
      </c>
      <c r="G53" s="46" t="s">
        <v>140</v>
      </c>
      <c r="H53" s="46" t="s">
        <v>140</v>
      </c>
      <c r="I53" s="46" t="s">
        <v>180</v>
      </c>
      <c r="J53" s="46" t="s">
        <v>140</v>
      </c>
      <c r="K53" s="46" t="s">
        <v>240</v>
      </c>
      <c r="L53" s="46">
        <v>12000</v>
      </c>
      <c r="M53" s="46" t="s">
        <v>140</v>
      </c>
      <c r="N53" s="46">
        <v>12000</v>
      </c>
      <c r="O53" s="46" t="s">
        <v>182</v>
      </c>
      <c r="P53" s="46" t="s">
        <v>241</v>
      </c>
      <c r="Q53" s="46" t="s">
        <v>140</v>
      </c>
      <c r="R53" s="46" t="s">
        <v>140</v>
      </c>
      <c r="S53" s="46" t="s">
        <v>145</v>
      </c>
      <c r="T53" s="46" t="s">
        <v>146</v>
      </c>
      <c r="U53" s="46" t="s">
        <v>198</v>
      </c>
      <c r="V53" s="46" t="s">
        <v>147</v>
      </c>
    </row>
    <row r="54" spans="2:23">
      <c r="B54" s="45">
        <v>45716</v>
      </c>
      <c r="C54" s="46" t="s">
        <v>237</v>
      </c>
      <c r="D54" s="46" t="s">
        <v>242</v>
      </c>
      <c r="E54" s="46" t="s">
        <v>243</v>
      </c>
      <c r="F54" s="46" t="s">
        <v>140</v>
      </c>
      <c r="G54" s="46" t="s">
        <v>140</v>
      </c>
      <c r="H54" s="46" t="s">
        <v>140</v>
      </c>
      <c r="I54" s="46" t="s">
        <v>141</v>
      </c>
      <c r="J54" s="46" t="s">
        <v>140</v>
      </c>
      <c r="K54" s="46" t="s">
        <v>244</v>
      </c>
      <c r="L54" s="46">
        <v>27000</v>
      </c>
      <c r="M54" s="46" t="s">
        <v>140</v>
      </c>
      <c r="N54" s="46">
        <v>27000</v>
      </c>
      <c r="O54" s="46" t="s">
        <v>245</v>
      </c>
      <c r="P54" s="46" t="s">
        <v>241</v>
      </c>
      <c r="Q54" s="46" t="s">
        <v>140</v>
      </c>
      <c r="R54" s="46" t="s">
        <v>140</v>
      </c>
      <c r="S54" s="46" t="s">
        <v>145</v>
      </c>
      <c r="T54" s="46" t="s">
        <v>146</v>
      </c>
      <c r="U54" s="46" t="s">
        <v>198</v>
      </c>
      <c r="V54" s="46" t="s">
        <v>147</v>
      </c>
      <c r="W54" s="58" t="s">
        <v>306</v>
      </c>
    </row>
    <row r="55" spans="2:23">
      <c r="B55" s="45">
        <v>45566</v>
      </c>
      <c r="C55" s="46" t="s">
        <v>246</v>
      </c>
      <c r="D55" s="46" t="s">
        <v>247</v>
      </c>
      <c r="E55" s="46" t="s">
        <v>248</v>
      </c>
      <c r="F55" s="46" t="s">
        <v>140</v>
      </c>
      <c r="G55" s="46" t="s">
        <v>140</v>
      </c>
      <c r="H55" s="46" t="s">
        <v>140</v>
      </c>
      <c r="I55" s="46" t="s">
        <v>141</v>
      </c>
      <c r="J55" s="46" t="s">
        <v>140</v>
      </c>
      <c r="K55" s="46" t="s">
        <v>249</v>
      </c>
      <c r="L55" s="46">
        <v>22657</v>
      </c>
      <c r="M55" s="46" t="s">
        <v>140</v>
      </c>
      <c r="N55" s="46">
        <v>22657</v>
      </c>
      <c r="O55" s="46" t="s">
        <v>250</v>
      </c>
      <c r="P55" s="46" t="s">
        <v>251</v>
      </c>
      <c r="Q55" s="46" t="s">
        <v>140</v>
      </c>
      <c r="R55" s="46" t="s">
        <v>140</v>
      </c>
      <c r="S55" s="46" t="s">
        <v>145</v>
      </c>
      <c r="T55" s="46" t="s">
        <v>146</v>
      </c>
      <c r="U55" s="46" t="s">
        <v>146</v>
      </c>
      <c r="V55" s="46" t="s">
        <v>147</v>
      </c>
      <c r="W55" s="58" t="s">
        <v>306</v>
      </c>
    </row>
    <row r="56" spans="2:23">
      <c r="B56" s="47">
        <v>45688</v>
      </c>
      <c r="C56" s="48" t="s">
        <v>246</v>
      </c>
      <c r="D56" s="48" t="s">
        <v>247</v>
      </c>
      <c r="E56" s="48" t="s">
        <v>252</v>
      </c>
      <c r="F56" s="48" t="s">
        <v>140</v>
      </c>
      <c r="G56" s="48" t="s">
        <v>140</v>
      </c>
      <c r="H56" s="48" t="s">
        <v>140</v>
      </c>
      <c r="I56" s="48" t="s">
        <v>141</v>
      </c>
      <c r="J56" s="48" t="s">
        <v>140</v>
      </c>
      <c r="K56" s="48" t="s">
        <v>205</v>
      </c>
      <c r="L56" s="48">
        <v>23662</v>
      </c>
      <c r="M56" s="48" t="s">
        <v>140</v>
      </c>
      <c r="N56" s="48">
        <v>23662</v>
      </c>
      <c r="O56" s="48" t="s">
        <v>250</v>
      </c>
      <c r="P56" s="48" t="s">
        <v>251</v>
      </c>
      <c r="Q56" s="48" t="s">
        <v>140</v>
      </c>
      <c r="R56" s="48" t="s">
        <v>140</v>
      </c>
      <c r="S56" s="48" t="s">
        <v>145</v>
      </c>
      <c r="T56" s="48" t="s">
        <v>146</v>
      </c>
      <c r="U56" s="48" t="s">
        <v>146</v>
      </c>
      <c r="V56" s="48" t="s">
        <v>147</v>
      </c>
      <c r="W56" s="58" t="s">
        <v>306</v>
      </c>
    </row>
    <row r="59" spans="2:23">
      <c r="B59" s="44" t="s">
        <v>269</v>
      </c>
    </row>
    <row r="61" spans="2:23">
      <c r="B61" s="42" t="s">
        <v>164</v>
      </c>
      <c r="C61" s="42" t="s">
        <v>117</v>
      </c>
      <c r="D61" s="42" t="s">
        <v>119</v>
      </c>
      <c r="E61" s="42" t="s">
        <v>120</v>
      </c>
      <c r="F61" s="42" t="s">
        <v>121</v>
      </c>
      <c r="G61" s="42" t="s">
        <v>122</v>
      </c>
      <c r="H61" s="42" t="s">
        <v>123</v>
      </c>
      <c r="I61" s="42" t="s">
        <v>124</v>
      </c>
      <c r="J61" s="42" t="s">
        <v>125</v>
      </c>
      <c r="K61" s="42" t="s">
        <v>126</v>
      </c>
      <c r="L61" s="43" t="s">
        <v>127</v>
      </c>
      <c r="M61" s="42" t="s">
        <v>128</v>
      </c>
      <c r="N61" s="42" t="s">
        <v>129</v>
      </c>
      <c r="O61" s="42" t="s">
        <v>130</v>
      </c>
      <c r="P61" s="42" t="s">
        <v>131</v>
      </c>
      <c r="Q61" s="42" t="s">
        <v>132</v>
      </c>
      <c r="R61" s="42" t="s">
        <v>133</v>
      </c>
      <c r="S61" s="42" t="s">
        <v>134</v>
      </c>
      <c r="T61" s="42" t="s">
        <v>135</v>
      </c>
      <c r="U61" s="42" t="s">
        <v>136</v>
      </c>
      <c r="V61" s="42" t="s">
        <v>137</v>
      </c>
    </row>
    <row r="62" spans="2:23">
      <c r="B62" s="45">
        <v>45422</v>
      </c>
      <c r="C62" s="46" t="s">
        <v>254</v>
      </c>
      <c r="D62" s="46" t="s">
        <v>255</v>
      </c>
      <c r="E62" s="46" t="s">
        <v>256</v>
      </c>
      <c r="F62" s="46" t="s">
        <v>140</v>
      </c>
      <c r="G62" s="46" t="s">
        <v>140</v>
      </c>
      <c r="H62" s="46" t="s">
        <v>140</v>
      </c>
      <c r="I62" s="46" t="s">
        <v>141</v>
      </c>
      <c r="J62" s="46" t="s">
        <v>140</v>
      </c>
      <c r="K62" s="46" t="s">
        <v>257</v>
      </c>
      <c r="L62" s="46">
        <v>56250</v>
      </c>
      <c r="M62" s="46" t="s">
        <v>140</v>
      </c>
      <c r="N62" s="46">
        <v>56250</v>
      </c>
      <c r="O62" s="46" t="s">
        <v>258</v>
      </c>
      <c r="P62" s="46" t="s">
        <v>259</v>
      </c>
      <c r="Q62" s="46" t="s">
        <v>140</v>
      </c>
      <c r="R62" s="46" t="s">
        <v>140</v>
      </c>
      <c r="S62" s="46" t="s">
        <v>145</v>
      </c>
      <c r="T62" s="46" t="s">
        <v>146</v>
      </c>
      <c r="U62" s="46" t="s">
        <v>146</v>
      </c>
      <c r="V62" s="46" t="s">
        <v>147</v>
      </c>
      <c r="W62" s="58" t="s">
        <v>306</v>
      </c>
    </row>
    <row r="63" spans="2:23">
      <c r="B63" s="45">
        <v>45506</v>
      </c>
      <c r="C63" s="46" t="s">
        <v>254</v>
      </c>
      <c r="D63" s="46" t="s">
        <v>202</v>
      </c>
      <c r="E63" s="46" t="s">
        <v>260</v>
      </c>
      <c r="F63" s="46" t="s">
        <v>140</v>
      </c>
      <c r="G63" s="46" t="s">
        <v>140</v>
      </c>
      <c r="H63" s="46" t="s">
        <v>140</v>
      </c>
      <c r="I63" s="46" t="s">
        <v>141</v>
      </c>
      <c r="J63" s="46" t="s">
        <v>140</v>
      </c>
      <c r="K63" s="46" t="s">
        <v>261</v>
      </c>
      <c r="L63" s="46">
        <v>25334.04</v>
      </c>
      <c r="M63" s="46" t="s">
        <v>140</v>
      </c>
      <c r="N63" s="46">
        <v>25334.04</v>
      </c>
      <c r="O63" s="46" t="s">
        <v>203</v>
      </c>
      <c r="P63" s="46" t="s">
        <v>259</v>
      </c>
      <c r="Q63" s="46" t="s">
        <v>140</v>
      </c>
      <c r="R63" s="46" t="s">
        <v>140</v>
      </c>
      <c r="S63" s="46" t="s">
        <v>145</v>
      </c>
      <c r="T63" s="46" t="s">
        <v>146</v>
      </c>
      <c r="U63" s="46" t="s">
        <v>146</v>
      </c>
      <c r="V63" s="46" t="s">
        <v>147</v>
      </c>
      <c r="W63" s="58" t="s">
        <v>306</v>
      </c>
    </row>
    <row r="64" spans="2:23">
      <c r="B64" s="45">
        <v>45659</v>
      </c>
      <c r="C64" s="46" t="s">
        <v>254</v>
      </c>
      <c r="D64" s="46" t="s">
        <v>168</v>
      </c>
      <c r="E64" s="46" t="s">
        <v>262</v>
      </c>
      <c r="F64" s="46" t="s">
        <v>140</v>
      </c>
      <c r="G64" s="46" t="s">
        <v>140</v>
      </c>
      <c r="H64" s="46" t="s">
        <v>140</v>
      </c>
      <c r="I64" s="46" t="s">
        <v>141</v>
      </c>
      <c r="J64" s="46" t="s">
        <v>140</v>
      </c>
      <c r="K64" s="46" t="s">
        <v>263</v>
      </c>
      <c r="L64" s="46">
        <v>55000</v>
      </c>
      <c r="M64" s="46" t="s">
        <v>140</v>
      </c>
      <c r="N64" s="46">
        <v>55000</v>
      </c>
      <c r="O64" s="46" t="s">
        <v>171</v>
      </c>
      <c r="P64" s="46" t="s">
        <v>259</v>
      </c>
      <c r="Q64" s="46" t="s">
        <v>140</v>
      </c>
      <c r="R64" s="46" t="s">
        <v>140</v>
      </c>
      <c r="S64" s="46" t="s">
        <v>145</v>
      </c>
      <c r="T64" s="46" t="s">
        <v>146</v>
      </c>
      <c r="U64" s="46" t="s">
        <v>146</v>
      </c>
      <c r="V64" s="46" t="s">
        <v>147</v>
      </c>
      <c r="W64" s="58" t="s">
        <v>306</v>
      </c>
    </row>
    <row r="65" spans="2:23">
      <c r="B65" s="47">
        <v>45589</v>
      </c>
      <c r="C65" s="48" t="s">
        <v>264</v>
      </c>
      <c r="D65" s="48" t="s">
        <v>265</v>
      </c>
      <c r="E65" s="48" t="s">
        <v>266</v>
      </c>
      <c r="F65" s="48" t="s">
        <v>140</v>
      </c>
      <c r="G65" s="48" t="s">
        <v>140</v>
      </c>
      <c r="H65" s="48" t="s">
        <v>140</v>
      </c>
      <c r="I65" s="48" t="s">
        <v>180</v>
      </c>
      <c r="J65" s="48" t="s">
        <v>140</v>
      </c>
      <c r="K65" s="48" t="s">
        <v>267</v>
      </c>
      <c r="L65" s="48">
        <v>11588</v>
      </c>
      <c r="M65" s="48" t="s">
        <v>140</v>
      </c>
      <c r="N65" s="48">
        <v>11588</v>
      </c>
      <c r="O65" s="48" t="s">
        <v>182</v>
      </c>
      <c r="P65" s="48" t="s">
        <v>268</v>
      </c>
      <c r="Q65" s="48" t="s">
        <v>140</v>
      </c>
      <c r="R65" s="48" t="s">
        <v>140</v>
      </c>
      <c r="S65" s="48" t="s">
        <v>145</v>
      </c>
      <c r="T65" s="48" t="s">
        <v>146</v>
      </c>
      <c r="U65" s="48" t="s">
        <v>146</v>
      </c>
      <c r="V65" s="48" t="s">
        <v>147</v>
      </c>
    </row>
    <row r="68" spans="2:23">
      <c r="B68" s="41" t="s">
        <v>278</v>
      </c>
    </row>
    <row r="70" spans="2:23">
      <c r="B70" s="42" t="s">
        <v>164</v>
      </c>
      <c r="C70" s="42" t="s">
        <v>117</v>
      </c>
      <c r="D70" s="42" t="s">
        <v>119</v>
      </c>
      <c r="E70" s="42" t="s">
        <v>120</v>
      </c>
      <c r="F70" s="42" t="s">
        <v>121</v>
      </c>
      <c r="G70" s="42" t="s">
        <v>122</v>
      </c>
      <c r="H70" s="42" t="s">
        <v>123</v>
      </c>
      <c r="I70" s="42" t="s">
        <v>124</v>
      </c>
      <c r="J70" s="42" t="s">
        <v>125</v>
      </c>
      <c r="K70" s="42" t="s">
        <v>126</v>
      </c>
      <c r="L70" s="43" t="s">
        <v>127</v>
      </c>
      <c r="M70" s="42" t="s">
        <v>128</v>
      </c>
      <c r="N70" s="42" t="s">
        <v>129</v>
      </c>
      <c r="O70" s="42" t="s">
        <v>130</v>
      </c>
      <c r="P70" s="42" t="s">
        <v>131</v>
      </c>
      <c r="Q70" s="42" t="s">
        <v>132</v>
      </c>
      <c r="R70" s="42" t="s">
        <v>133</v>
      </c>
      <c r="S70" s="42" t="s">
        <v>134</v>
      </c>
      <c r="T70" s="42" t="s">
        <v>135</v>
      </c>
      <c r="U70" s="42" t="s">
        <v>136</v>
      </c>
      <c r="V70" s="42" t="s">
        <v>137</v>
      </c>
    </row>
    <row r="71" spans="2:23">
      <c r="B71" s="45">
        <v>45513</v>
      </c>
      <c r="C71" s="46" t="s">
        <v>270</v>
      </c>
      <c r="D71" s="46" t="s">
        <v>187</v>
      </c>
      <c r="E71" s="46" t="s">
        <v>271</v>
      </c>
      <c r="F71" s="46" t="s">
        <v>140</v>
      </c>
      <c r="G71" s="46" t="s">
        <v>189</v>
      </c>
      <c r="H71" s="46" t="s">
        <v>190</v>
      </c>
      <c r="I71" s="46" t="s">
        <v>146</v>
      </c>
      <c r="J71" s="46" t="s">
        <v>140</v>
      </c>
      <c r="K71" s="46" t="s">
        <v>140</v>
      </c>
      <c r="L71" s="46">
        <v>17685</v>
      </c>
      <c r="M71" s="46" t="s">
        <v>140</v>
      </c>
      <c r="N71" s="46">
        <v>17685</v>
      </c>
      <c r="O71" s="46" t="s">
        <v>182</v>
      </c>
      <c r="P71" s="46" t="s">
        <v>272</v>
      </c>
      <c r="Q71" s="46" t="s">
        <v>140</v>
      </c>
      <c r="R71" s="46" t="s">
        <v>273</v>
      </c>
      <c r="S71" s="46" t="s">
        <v>145</v>
      </c>
      <c r="T71" s="46" t="s">
        <v>146</v>
      </c>
      <c r="U71" s="46" t="s">
        <v>198</v>
      </c>
      <c r="V71" s="46" t="s">
        <v>147</v>
      </c>
      <c r="W71" s="58" t="s">
        <v>306</v>
      </c>
    </row>
    <row r="72" spans="2:23">
      <c r="B72" s="45">
        <v>45574</v>
      </c>
      <c r="C72" s="46" t="s">
        <v>270</v>
      </c>
      <c r="D72" s="46" t="s">
        <v>187</v>
      </c>
      <c r="E72" s="46" t="s">
        <v>274</v>
      </c>
      <c r="F72" s="46" t="s">
        <v>140</v>
      </c>
      <c r="G72" s="46" t="s">
        <v>189</v>
      </c>
      <c r="H72" s="46" t="s">
        <v>190</v>
      </c>
      <c r="I72" s="46" t="s">
        <v>146</v>
      </c>
      <c r="J72" s="46" t="s">
        <v>140</v>
      </c>
      <c r="K72" s="46" t="s">
        <v>140</v>
      </c>
      <c r="L72" s="46">
        <v>14310</v>
      </c>
      <c r="M72" s="46" t="s">
        <v>140</v>
      </c>
      <c r="N72" s="46">
        <v>14310</v>
      </c>
      <c r="O72" s="46" t="s">
        <v>182</v>
      </c>
      <c r="P72" s="46" t="s">
        <v>272</v>
      </c>
      <c r="Q72" s="46" t="s">
        <v>140</v>
      </c>
      <c r="R72" s="46" t="s">
        <v>140</v>
      </c>
      <c r="S72" s="46" t="s">
        <v>145</v>
      </c>
      <c r="T72" s="46" t="s">
        <v>146</v>
      </c>
      <c r="U72" s="46" t="s">
        <v>198</v>
      </c>
      <c r="V72" s="46" t="s">
        <v>147</v>
      </c>
      <c r="W72" s="58" t="s">
        <v>306</v>
      </c>
    </row>
    <row r="73" spans="2:23">
      <c r="B73" s="47">
        <v>45747</v>
      </c>
      <c r="C73" s="48" t="s">
        <v>270</v>
      </c>
      <c r="D73" s="48" t="s">
        <v>247</v>
      </c>
      <c r="E73" s="48" t="s">
        <v>275</v>
      </c>
      <c r="F73" s="48" t="s">
        <v>140</v>
      </c>
      <c r="G73" s="48" t="s">
        <v>140</v>
      </c>
      <c r="H73" s="48" t="s">
        <v>140</v>
      </c>
      <c r="I73" s="48" t="s">
        <v>141</v>
      </c>
      <c r="J73" s="48" t="s">
        <v>140</v>
      </c>
      <c r="K73" s="48" t="s">
        <v>276</v>
      </c>
      <c r="L73" s="48">
        <v>23630</v>
      </c>
      <c r="M73" s="48" t="s">
        <v>140</v>
      </c>
      <c r="N73" s="48">
        <v>23630</v>
      </c>
      <c r="O73" s="48" t="s">
        <v>250</v>
      </c>
      <c r="P73" s="48" t="s">
        <v>272</v>
      </c>
      <c r="Q73" s="48" t="s">
        <v>140</v>
      </c>
      <c r="R73" s="48" t="s">
        <v>277</v>
      </c>
      <c r="S73" s="48" t="s">
        <v>145</v>
      </c>
      <c r="T73" s="48" t="s">
        <v>146</v>
      </c>
      <c r="U73" s="48" t="s">
        <v>198</v>
      </c>
      <c r="V73" s="48" t="s">
        <v>147</v>
      </c>
      <c r="W73" s="58" t="s">
        <v>306</v>
      </c>
    </row>
    <row r="76" spans="2:23">
      <c r="B76" s="41" t="s">
        <v>280</v>
      </c>
    </row>
    <row r="78" spans="2:23">
      <c r="B78" s="42" t="s">
        <v>164</v>
      </c>
      <c r="C78" s="42" t="s">
        <v>117</v>
      </c>
      <c r="D78" s="42" t="s">
        <v>119</v>
      </c>
      <c r="E78" s="42" t="s">
        <v>120</v>
      </c>
      <c r="F78" s="42" t="s">
        <v>121</v>
      </c>
      <c r="G78" s="42" t="s">
        <v>122</v>
      </c>
      <c r="H78" s="42" t="s">
        <v>123</v>
      </c>
      <c r="I78" s="42" t="s">
        <v>124</v>
      </c>
      <c r="J78" s="42" t="s">
        <v>125</v>
      </c>
      <c r="K78" s="42" t="s">
        <v>126</v>
      </c>
      <c r="L78" s="43" t="s">
        <v>127</v>
      </c>
      <c r="M78" s="42" t="s">
        <v>128</v>
      </c>
      <c r="N78" s="42" t="s">
        <v>129</v>
      </c>
      <c r="O78" s="42" t="s">
        <v>130</v>
      </c>
      <c r="P78" s="42" t="s">
        <v>131</v>
      </c>
      <c r="Q78" s="42" t="s">
        <v>132</v>
      </c>
      <c r="R78" s="42" t="s">
        <v>133</v>
      </c>
      <c r="S78" s="42" t="s">
        <v>134</v>
      </c>
      <c r="T78" s="42" t="s">
        <v>135</v>
      </c>
      <c r="U78" s="42" t="s">
        <v>136</v>
      </c>
      <c r="V78" s="42" t="s">
        <v>137</v>
      </c>
    </row>
    <row r="79" spans="2:23">
      <c r="B79" s="47">
        <v>45588</v>
      </c>
      <c r="C79" s="35" t="s">
        <v>281</v>
      </c>
      <c r="D79" s="35" t="s">
        <v>187</v>
      </c>
      <c r="E79" s="35" t="s">
        <v>282</v>
      </c>
      <c r="F79" s="35" t="s">
        <v>140</v>
      </c>
      <c r="G79" s="35" t="s">
        <v>189</v>
      </c>
      <c r="H79" s="35" t="s">
        <v>190</v>
      </c>
      <c r="I79" s="35" t="s">
        <v>146</v>
      </c>
      <c r="J79" s="35" t="s">
        <v>140</v>
      </c>
      <c r="K79" s="35" t="s">
        <v>140</v>
      </c>
      <c r="L79" s="35">
        <v>63000</v>
      </c>
      <c r="M79" s="35" t="s">
        <v>140</v>
      </c>
      <c r="N79" s="35">
        <v>63000</v>
      </c>
      <c r="O79" s="35" t="s">
        <v>182</v>
      </c>
      <c r="P79" s="35" t="s">
        <v>283</v>
      </c>
      <c r="Q79" s="35" t="s">
        <v>140</v>
      </c>
      <c r="R79" s="35" t="s">
        <v>284</v>
      </c>
      <c r="S79" s="35" t="s">
        <v>145</v>
      </c>
      <c r="T79" s="35" t="s">
        <v>146</v>
      </c>
      <c r="U79" s="35" t="s">
        <v>146</v>
      </c>
      <c r="V79" s="35" t="s">
        <v>147</v>
      </c>
    </row>
    <row r="80" spans="2:23">
      <c r="B80" s="52"/>
    </row>
    <row r="81" spans="2:22">
      <c r="B81" s="52"/>
    </row>
    <row r="82" spans="2:22">
      <c r="B82" s="41" t="s">
        <v>289</v>
      </c>
    </row>
    <row r="84" spans="2:22">
      <c r="B84" s="42" t="s">
        <v>164</v>
      </c>
      <c r="C84" s="42" t="s">
        <v>117</v>
      </c>
      <c r="D84" s="42" t="s">
        <v>119</v>
      </c>
      <c r="E84" s="42" t="s">
        <v>120</v>
      </c>
      <c r="F84" s="42" t="s">
        <v>121</v>
      </c>
      <c r="G84" s="42" t="s">
        <v>122</v>
      </c>
      <c r="H84" s="42" t="s">
        <v>123</v>
      </c>
      <c r="I84" s="42" t="s">
        <v>124</v>
      </c>
      <c r="J84" s="42" t="s">
        <v>125</v>
      </c>
      <c r="K84" s="42" t="s">
        <v>126</v>
      </c>
      <c r="L84" s="43" t="s">
        <v>127</v>
      </c>
      <c r="M84" s="42" t="s">
        <v>128</v>
      </c>
      <c r="N84" s="42" t="s">
        <v>129</v>
      </c>
      <c r="O84" s="42" t="s">
        <v>130</v>
      </c>
      <c r="P84" s="42" t="s">
        <v>131</v>
      </c>
      <c r="Q84" s="42" t="s">
        <v>132</v>
      </c>
      <c r="R84" s="42" t="s">
        <v>133</v>
      </c>
      <c r="S84" s="42" t="s">
        <v>134</v>
      </c>
      <c r="T84" s="42" t="s">
        <v>135</v>
      </c>
      <c r="U84" s="42" t="s">
        <v>136</v>
      </c>
      <c r="V84" s="42" t="s">
        <v>137</v>
      </c>
    </row>
    <row r="85" spans="2:22">
      <c r="B85" s="38">
        <v>45457</v>
      </c>
      <c r="C85" s="35" t="s">
        <v>285</v>
      </c>
      <c r="D85" s="35" t="s">
        <v>187</v>
      </c>
      <c r="E85" s="35" t="s">
        <v>286</v>
      </c>
      <c r="F85" s="35" t="s">
        <v>140</v>
      </c>
      <c r="G85" s="35" t="s">
        <v>189</v>
      </c>
      <c r="H85" s="35" t="s">
        <v>190</v>
      </c>
      <c r="I85" s="35" t="s">
        <v>146</v>
      </c>
      <c r="J85" s="35" t="s">
        <v>140</v>
      </c>
      <c r="K85" s="35" t="s">
        <v>140</v>
      </c>
      <c r="L85" s="35">
        <v>15000</v>
      </c>
      <c r="M85" s="35" t="s">
        <v>140</v>
      </c>
      <c r="N85" s="35">
        <v>15000</v>
      </c>
      <c r="O85" s="35" t="s">
        <v>182</v>
      </c>
      <c r="P85" s="35" t="s">
        <v>287</v>
      </c>
      <c r="Q85" s="35" t="s">
        <v>140</v>
      </c>
      <c r="R85" s="35" t="s">
        <v>288</v>
      </c>
      <c r="S85" s="35" t="s">
        <v>145</v>
      </c>
      <c r="T85" s="35" t="s">
        <v>146</v>
      </c>
      <c r="U85" s="35" t="s">
        <v>146</v>
      </c>
      <c r="V85" s="35" t="s">
        <v>147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0578-F7F7-4A0F-8019-5E9E5198DBC8}">
  <dimension ref="B2:B24"/>
  <sheetViews>
    <sheetView showGridLines="0" workbookViewId="0">
      <selection activeCell="B6" sqref="B6"/>
    </sheetView>
  </sheetViews>
  <sheetFormatPr defaultRowHeight="14.4"/>
  <cols>
    <col min="1" max="1" width="1.77734375" customWidth="1"/>
    <col min="2" max="2" width="22.33203125" bestFit="1" customWidth="1"/>
  </cols>
  <sheetData>
    <row r="2" spans="2:2">
      <c r="B2" s="41" t="str">
        <f>'Requirement list'!B2</f>
        <v>ETHDC Technologies Pvt. Ltd</v>
      </c>
    </row>
    <row r="3" spans="2:2">
      <c r="B3" s="41" t="str">
        <f>'Requirement list'!B3</f>
        <v>Statutory Audit for the year ended March 31, 2026</v>
      </c>
    </row>
    <row r="4" spans="2:2">
      <c r="B4" s="41" t="str">
        <f>'Requirement list'!B4</f>
        <v>Preliminary Requirement list</v>
      </c>
    </row>
    <row r="6" spans="2:2">
      <c r="B6" s="41" t="s">
        <v>291</v>
      </c>
    </row>
    <row r="9" spans="2:2">
      <c r="B9" s="36" t="s">
        <v>292</v>
      </c>
    </row>
    <row r="11" spans="2:2">
      <c r="B11" s="56" t="s">
        <v>293</v>
      </c>
    </row>
    <row r="12" spans="2:2">
      <c r="B12" s="54" t="s">
        <v>294</v>
      </c>
    </row>
    <row r="13" spans="2:2">
      <c r="B13" s="54" t="s">
        <v>295</v>
      </c>
    </row>
    <row r="14" spans="2:2">
      <c r="B14" s="54" t="s">
        <v>296</v>
      </c>
    </row>
    <row r="15" spans="2:2">
      <c r="B15" s="55" t="s">
        <v>297</v>
      </c>
    </row>
    <row r="18" spans="2:2">
      <c r="B18" s="57" t="s">
        <v>298</v>
      </c>
    </row>
    <row r="20" spans="2:2">
      <c r="B20" s="42" t="s">
        <v>299</v>
      </c>
    </row>
    <row r="21" spans="2:2">
      <c r="B21" s="54" t="s">
        <v>300</v>
      </c>
    </row>
    <row r="22" spans="2:2">
      <c r="B22" s="54" t="s">
        <v>301</v>
      </c>
    </row>
    <row r="23" spans="2:2">
      <c r="B23" s="54" t="s">
        <v>302</v>
      </c>
    </row>
    <row r="24" spans="2:2">
      <c r="B24" s="55"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Requirement list</vt:lpstr>
      <vt:lpstr>Annexure 1</vt:lpstr>
      <vt:lpstr>Annexure 2 sales sample</vt:lpstr>
      <vt:lpstr>Annexure 3 samples</vt:lpstr>
      <vt:lpstr>Payroll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phadkekalyani</dc:creator>
  <cp:lastModifiedBy>Riyanshu Agrawal</cp:lastModifiedBy>
  <dcterms:created xsi:type="dcterms:W3CDTF">2014-03-20T09:07:10Z</dcterms:created>
  <dcterms:modified xsi:type="dcterms:W3CDTF">2026-08-25T07:21:49Z</dcterms:modified>
</cp:coreProperties>
</file>